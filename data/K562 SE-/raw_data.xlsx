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9.xml" ContentType="application/vnd.ms-office.chartex+xml"/>
  <Override PartName="/xl/charts/chartEx10.xml" ContentType="application/vnd.ms-office.chartex+xml"/>
  <Override PartName="/xl/charts/chartEx11.xml" ContentType="application/vnd.ms-office.chartex+xml"/>
  <Override PartName="/xl/charts/chartEx12.xml" ContentType="application/vnd.ms-office.chartex+xml"/>
  <Override PartName="/xl/charts/chartEx13.xml" ContentType="application/vnd.ms-office.chartex+xml"/>
  <Override PartName="/xl/charts/chartEx14.xml" ContentType="application/vnd.ms-office.chartex+xml"/>
  <Override PartName="/xl/charts/chartEx15.xml" ContentType="application/vnd.ms-office.chartex+xml"/>
  <Override PartName="/xl/charts/chartEx16.xml" ContentType="application/vnd.ms-office.chartex+xml"/>
  <Override PartName="/xl/charts/chartEx17.xml" ContentType="application/vnd.ms-office.chartex+xml"/>
  <Override PartName="/xl/charts/chartEx18.xml" ContentType="application/vnd.ms-office.chartex+xml"/>
  <Override PartName="/xl/charts/chartEx19.xml" ContentType="application/vnd.ms-office.chartex+xml"/>
  <Override PartName="/xl/charts/chartEx20.xml" ContentType="application/vnd.ms-office.chartex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ython_projects\hierarchical_clustering_genes\data\K562 SE-\"/>
    </mc:Choice>
  </mc:AlternateContent>
  <bookViews>
    <workbookView xWindow="0" yWindow="0" windowWidth="23040" windowHeight="9072" activeTab="3"/>
  </bookViews>
  <sheets>
    <sheet name="HEK" sheetId="4" r:id="rId1"/>
    <sheet name="K562" sheetId="2" r:id="rId2"/>
    <sheet name="K562 SE" sheetId="5" r:id="rId3"/>
    <sheet name="K562 SE-" sheetId="6" r:id="rId4"/>
    <sheet name="A549" sheetId="3" r:id="rId5"/>
    <sheet name="HEK старый" sheetId="1" r:id="rId6"/>
  </sheets>
  <definedNames>
    <definedName name="_xlchart.v1.0" hidden="1">HEK!$I$32</definedName>
    <definedName name="_xlchart.v1.1" hidden="1">HEK!$I$33:$I$51</definedName>
    <definedName name="_xlchart.v1.10" hidden="1">HEK!$L$32</definedName>
    <definedName name="_xlchart.v1.11" hidden="1">HEK!$L$33:$L$51</definedName>
    <definedName name="_xlchart.v1.12" hidden="1">HEK!$O$32</definedName>
    <definedName name="_xlchart.v1.13" hidden="1">HEK!$O$33:$O$51</definedName>
    <definedName name="_xlchart.v1.14" hidden="1">HEK!$P$32</definedName>
    <definedName name="_xlchart.v1.15" hidden="1">HEK!$P$33:$P$51</definedName>
    <definedName name="_xlchart.v1.16" hidden="1">'K562'!$N$31</definedName>
    <definedName name="_xlchart.v1.17" hidden="1">'K562'!$N$32:$N$50</definedName>
    <definedName name="_xlchart.v1.18" hidden="1">'K562'!$O$31</definedName>
    <definedName name="_xlchart.v1.19" hidden="1">'K562'!$O$32:$O$50</definedName>
    <definedName name="_xlchart.v1.2" hidden="1">HEK!$J$32</definedName>
    <definedName name="_xlchart.v1.20" hidden="1">'K562'!$L$31</definedName>
    <definedName name="_xlchart.v1.21" hidden="1">'K562'!$L$32:$L$50</definedName>
    <definedName name="_xlchart.v1.22" hidden="1">'K562'!$M$31</definedName>
    <definedName name="_xlchart.v1.23" hidden="1">'K562'!$M$32:$M$50</definedName>
    <definedName name="_xlchart.v1.24" hidden="1">'K562'!$J$31</definedName>
    <definedName name="_xlchart.v1.25" hidden="1">'K562'!$J$32:$J$50</definedName>
    <definedName name="_xlchart.v1.26" hidden="1">'K562'!$K$31</definedName>
    <definedName name="_xlchart.v1.27" hidden="1">'K562'!$K$32:$K$50</definedName>
    <definedName name="_xlchart.v1.28" hidden="1">'K562'!$H$31</definedName>
    <definedName name="_xlchart.v1.29" hidden="1">'K562'!$H$32:$H$50</definedName>
    <definedName name="_xlchart.v1.3" hidden="1">HEK!$J$33:$J$51</definedName>
    <definedName name="_xlchart.v1.30" hidden="1">'K562'!$I$31</definedName>
    <definedName name="_xlchart.v1.31" hidden="1">'K562'!$I$32:$I$50</definedName>
    <definedName name="_xlchart.v1.32" hidden="1">'A549'!$U$1</definedName>
    <definedName name="_xlchart.v1.33" hidden="1">'A549'!$U$2:$U$18</definedName>
    <definedName name="_xlchart.v1.34" hidden="1">'A549'!$V$1</definedName>
    <definedName name="_xlchart.v1.35" hidden="1">'A549'!$V$2:$V$18</definedName>
    <definedName name="_xlchart.v1.36" hidden="1">'A549'!$G$34</definedName>
    <definedName name="_xlchart.v1.37" hidden="1">'A549'!$G$35:$G$53</definedName>
    <definedName name="_xlchart.v1.38" hidden="1">'A549'!$H$34</definedName>
    <definedName name="_xlchart.v1.39" hidden="1">'A549'!$H$35:$H$53</definedName>
    <definedName name="_xlchart.v1.4" hidden="1">HEK!$M$32</definedName>
    <definedName name="_xlchart.v1.40" hidden="1">'A549'!$K$34</definedName>
    <definedName name="_xlchart.v1.41" hidden="1">'A549'!$K$35:$K$53</definedName>
    <definedName name="_xlchart.v1.42" hidden="1">'A549'!$L$34</definedName>
    <definedName name="_xlchart.v1.43" hidden="1">'A549'!$L$35:$L$53</definedName>
    <definedName name="_xlchart.v1.44" hidden="1">'A549'!$I$34</definedName>
    <definedName name="_xlchart.v1.45" hidden="1">'A549'!$I$35:$I$53</definedName>
    <definedName name="_xlchart.v1.46" hidden="1">'A549'!$J$34</definedName>
    <definedName name="_xlchart.v1.47" hidden="1">'A549'!$J$35:$J$53</definedName>
    <definedName name="_xlchart.v1.48" hidden="1">'A549'!$M$34</definedName>
    <definedName name="_xlchart.v1.49" hidden="1">'A549'!$M$35:$M$53</definedName>
    <definedName name="_xlchart.v1.5" hidden="1">HEK!$M$33:$M$51</definedName>
    <definedName name="_xlchart.v1.50" hidden="1">'A549'!$N$34</definedName>
    <definedName name="_xlchart.v1.51" hidden="1">'A549'!$N$35:$N$53</definedName>
    <definedName name="_xlchart.v1.52" hidden="1">'A549'!$AA$1</definedName>
    <definedName name="_xlchart.v1.53" hidden="1">'A549'!$AA$2:$AA$18</definedName>
    <definedName name="_xlchart.v1.54" hidden="1">'A549'!$AB$1</definedName>
    <definedName name="_xlchart.v1.55" hidden="1">'A549'!$AB$2:$AB$18</definedName>
    <definedName name="_xlchart.v1.56" hidden="1">'A549'!$W$1</definedName>
    <definedName name="_xlchart.v1.57" hidden="1">'A549'!$W$2:$W$18</definedName>
    <definedName name="_xlchart.v1.58" hidden="1">'A549'!$X$1</definedName>
    <definedName name="_xlchart.v1.59" hidden="1">'A549'!$X$2:$X$18</definedName>
    <definedName name="_xlchart.v1.6" hidden="1">HEK!$N$32</definedName>
    <definedName name="_xlchart.v1.60" hidden="1">'A549'!$Y$1</definedName>
    <definedName name="_xlchart.v1.61" hidden="1">'A549'!$Y$2:$Y$18</definedName>
    <definedName name="_xlchart.v1.62" hidden="1">'A549'!$Z$1</definedName>
    <definedName name="_xlchart.v1.63" hidden="1">'A549'!$Z$2:$Z$18</definedName>
    <definedName name="_xlchart.v1.64" hidden="1">'HEK старый'!$K$39</definedName>
    <definedName name="_xlchart.v1.65" hidden="1">'HEK старый'!$K$40:$K$58</definedName>
    <definedName name="_xlchart.v1.66" hidden="1">'HEK старый'!$L$39</definedName>
    <definedName name="_xlchart.v1.67" hidden="1">'HEK старый'!$L$40:$L$58</definedName>
    <definedName name="_xlchart.v1.68" hidden="1">'HEK старый'!$O$39</definedName>
    <definedName name="_xlchart.v1.69" hidden="1">'HEK старый'!$O$40:$O$58</definedName>
    <definedName name="_xlchart.v1.7" hidden="1">HEK!$N$33:$N$51</definedName>
    <definedName name="_xlchart.v1.70" hidden="1">'HEK старый'!$P$39</definedName>
    <definedName name="_xlchart.v1.71" hidden="1">'HEK старый'!$P$40:$P$58</definedName>
    <definedName name="_xlchart.v1.72" hidden="1">'HEK старый'!$Q$39</definedName>
    <definedName name="_xlchart.v1.73" hidden="1">'HEK старый'!$Q$40:$Q$58</definedName>
    <definedName name="_xlchart.v1.74" hidden="1">'HEK старый'!$R$39</definedName>
    <definedName name="_xlchart.v1.75" hidden="1">'HEK старый'!$R$40:$R$58</definedName>
    <definedName name="_xlchart.v1.76" hidden="1">'HEK старый'!$M$39</definedName>
    <definedName name="_xlchart.v1.77" hidden="1">'HEK старый'!$M$40:$M$58</definedName>
    <definedName name="_xlchart.v1.78" hidden="1">'HEK старый'!$N$39</definedName>
    <definedName name="_xlchart.v1.79" hidden="1">'HEK старый'!$N$40:$N$58</definedName>
    <definedName name="_xlchart.v1.8" hidden="1">HEK!$K$32</definedName>
    <definedName name="_xlchart.v1.9" hidden="1">HEK!$K$33:$K$51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6" l="1"/>
  <c r="H10" i="6"/>
  <c r="G10" i="6"/>
  <c r="F10" i="6"/>
  <c r="N9" i="6"/>
  <c r="I9" i="6"/>
  <c r="H9" i="6"/>
  <c r="G9" i="6"/>
  <c r="F9" i="6"/>
  <c r="N8" i="6"/>
  <c r="I8" i="6"/>
  <c r="H8" i="6"/>
  <c r="G8" i="6"/>
  <c r="F8" i="6"/>
  <c r="N7" i="6"/>
  <c r="I7" i="6"/>
  <c r="H7" i="6"/>
  <c r="G7" i="6"/>
  <c r="F7" i="6"/>
  <c r="N6" i="6"/>
  <c r="I6" i="6"/>
  <c r="H6" i="6"/>
  <c r="G6" i="6"/>
  <c r="F6" i="6"/>
  <c r="N5" i="6"/>
  <c r="I5" i="6"/>
  <c r="H5" i="6"/>
  <c r="G5" i="6"/>
  <c r="F5" i="6"/>
  <c r="N4" i="6"/>
  <c r="I4" i="6"/>
  <c r="H4" i="6"/>
  <c r="G4" i="6"/>
  <c r="F4" i="6"/>
  <c r="N3" i="6"/>
  <c r="I3" i="6"/>
  <c r="H3" i="6"/>
  <c r="G3" i="6"/>
  <c r="F3" i="6"/>
  <c r="I2" i="6"/>
  <c r="H2" i="6"/>
  <c r="G2" i="6"/>
  <c r="F2" i="6"/>
  <c r="AA20" i="5"/>
  <c r="Z20" i="5"/>
  <c r="Y20" i="5"/>
  <c r="X20" i="5"/>
  <c r="W20" i="5"/>
  <c r="I20" i="5"/>
  <c r="H20" i="5"/>
  <c r="G20" i="5"/>
  <c r="F20" i="5"/>
  <c r="AA19" i="5"/>
  <c r="Z19" i="5"/>
  <c r="X19" i="5"/>
  <c r="W19" i="5"/>
  <c r="I19" i="5"/>
  <c r="H19" i="5"/>
  <c r="G19" i="5"/>
  <c r="F19" i="5"/>
  <c r="AA18" i="5"/>
  <c r="Z18" i="5"/>
  <c r="W18" i="5"/>
  <c r="V18" i="5"/>
  <c r="I18" i="5"/>
  <c r="H18" i="5"/>
  <c r="G18" i="5"/>
  <c r="F18" i="5"/>
  <c r="AA17" i="5"/>
  <c r="Z17" i="5"/>
  <c r="Y17" i="5"/>
  <c r="W17" i="5"/>
  <c r="V17" i="5"/>
  <c r="I17" i="5"/>
  <c r="H17" i="5"/>
  <c r="G17" i="5"/>
  <c r="F17" i="5"/>
  <c r="AA16" i="5"/>
  <c r="Y16" i="5"/>
  <c r="I16" i="5"/>
  <c r="H16" i="5"/>
  <c r="G16" i="5"/>
  <c r="F16" i="5"/>
  <c r="AA15" i="5"/>
  <c r="Y15" i="5"/>
  <c r="X15" i="5"/>
  <c r="W15" i="5"/>
  <c r="V15" i="5"/>
  <c r="I15" i="5"/>
  <c r="H15" i="5"/>
  <c r="G15" i="5"/>
  <c r="F15" i="5"/>
  <c r="AA14" i="5"/>
  <c r="Z14" i="5"/>
  <c r="Y14" i="5"/>
  <c r="W14" i="5"/>
  <c r="I14" i="5"/>
  <c r="H14" i="5"/>
  <c r="G14" i="5"/>
  <c r="F14" i="5"/>
  <c r="AA13" i="5"/>
  <c r="Y13" i="5"/>
  <c r="W13" i="5"/>
  <c r="V13" i="5"/>
  <c r="I13" i="5"/>
  <c r="H13" i="5"/>
  <c r="G13" i="5"/>
  <c r="F13" i="5"/>
  <c r="W12" i="5"/>
  <c r="V12" i="5"/>
  <c r="I12" i="5"/>
  <c r="H12" i="5"/>
  <c r="G12" i="5"/>
  <c r="F12" i="5"/>
  <c r="AA11" i="5"/>
  <c r="X11" i="5"/>
  <c r="W11" i="5"/>
  <c r="I11" i="5"/>
  <c r="H11" i="5"/>
  <c r="G11" i="5"/>
  <c r="F11" i="5"/>
  <c r="AA10" i="5"/>
  <c r="Z10" i="5"/>
  <c r="X10" i="5"/>
  <c r="W10" i="5"/>
  <c r="V10" i="5"/>
  <c r="I10" i="5"/>
  <c r="H10" i="5"/>
  <c r="G10" i="5"/>
  <c r="F10" i="5"/>
  <c r="AA9" i="5"/>
  <c r="Z9" i="5"/>
  <c r="Y9" i="5"/>
  <c r="X9" i="5"/>
  <c r="W9" i="5"/>
  <c r="V9" i="5"/>
  <c r="I9" i="5"/>
  <c r="H9" i="5"/>
  <c r="G9" i="5"/>
  <c r="F9" i="5"/>
  <c r="AA8" i="5"/>
  <c r="Z8" i="5"/>
  <c r="Y8" i="5"/>
  <c r="X8" i="5"/>
  <c r="W8" i="5"/>
  <c r="I8" i="5"/>
  <c r="H8" i="5"/>
  <c r="G8" i="5"/>
  <c r="F8" i="5"/>
  <c r="Z7" i="5"/>
  <c r="X7" i="5"/>
  <c r="W7" i="5"/>
  <c r="V7" i="5"/>
  <c r="I7" i="5"/>
  <c r="H7" i="5"/>
  <c r="G7" i="5"/>
  <c r="F7" i="5"/>
  <c r="Y6" i="5"/>
  <c r="X6" i="5"/>
  <c r="W6" i="5"/>
  <c r="I6" i="5"/>
  <c r="H6" i="5"/>
  <c r="G6" i="5"/>
  <c r="F6" i="5"/>
  <c r="AA5" i="5"/>
  <c r="X5" i="5"/>
  <c r="W5" i="5"/>
  <c r="N5" i="5"/>
  <c r="I5" i="5"/>
  <c r="H5" i="5"/>
  <c r="G5" i="5"/>
  <c r="F5" i="5"/>
  <c r="AA4" i="5"/>
  <c r="X4" i="5"/>
  <c r="W4" i="5"/>
  <c r="I4" i="5"/>
  <c r="H4" i="5"/>
  <c r="G4" i="5"/>
  <c r="F4" i="5"/>
  <c r="AA3" i="5"/>
  <c r="Z3" i="5"/>
  <c r="X3" i="5"/>
  <c r="W3" i="5"/>
  <c r="I3" i="5"/>
  <c r="H3" i="5"/>
  <c r="G3" i="5"/>
  <c r="F3" i="5"/>
  <c r="AA2" i="5"/>
  <c r="Y2" i="5"/>
  <c r="W2" i="5"/>
  <c r="V2" i="5"/>
  <c r="I2" i="5"/>
  <c r="H2" i="5"/>
  <c r="G2" i="5"/>
  <c r="F2" i="5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H2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2" i="3"/>
  <c r="I2" i="3"/>
  <c r="J2" i="3"/>
  <c r="G3" i="4"/>
  <c r="H3" i="4"/>
  <c r="I3" i="4"/>
  <c r="J3" i="4"/>
  <c r="G4" i="4"/>
  <c r="H4" i="4"/>
  <c r="I4" i="4"/>
  <c r="J4" i="4"/>
  <c r="G5" i="4"/>
  <c r="H5" i="4"/>
  <c r="I5" i="4"/>
  <c r="J5" i="4"/>
  <c r="G6" i="4"/>
  <c r="H6" i="4"/>
  <c r="I6" i="4"/>
  <c r="J6" i="4"/>
  <c r="G7" i="4"/>
  <c r="H7" i="4"/>
  <c r="I7" i="4"/>
  <c r="J7" i="4"/>
  <c r="G8" i="4"/>
  <c r="H8" i="4"/>
  <c r="I8" i="4"/>
  <c r="J8" i="4"/>
  <c r="G9" i="4"/>
  <c r="H9" i="4"/>
  <c r="I9" i="4"/>
  <c r="J9" i="4"/>
  <c r="G10" i="4"/>
  <c r="H10" i="4"/>
  <c r="I10" i="4"/>
  <c r="J10" i="4"/>
  <c r="G11" i="4"/>
  <c r="H11" i="4"/>
  <c r="I11" i="4"/>
  <c r="J11" i="4"/>
  <c r="G12" i="4"/>
  <c r="H12" i="4"/>
  <c r="I12" i="4"/>
  <c r="J12" i="4"/>
  <c r="G13" i="4"/>
  <c r="H13" i="4"/>
  <c r="I13" i="4"/>
  <c r="J13" i="4"/>
  <c r="G14" i="4"/>
  <c r="H14" i="4"/>
  <c r="I14" i="4"/>
  <c r="J14" i="4"/>
  <c r="G15" i="4"/>
  <c r="H15" i="4"/>
  <c r="I15" i="4"/>
  <c r="J15" i="4"/>
  <c r="G16" i="4"/>
  <c r="H16" i="4"/>
  <c r="I16" i="4"/>
  <c r="J16" i="4"/>
  <c r="G17" i="4"/>
  <c r="H17" i="4"/>
  <c r="I17" i="4"/>
  <c r="J17" i="4"/>
  <c r="G18" i="4"/>
  <c r="H18" i="4"/>
  <c r="I18" i="4"/>
  <c r="J18" i="4"/>
  <c r="G19" i="4"/>
  <c r="H19" i="4"/>
  <c r="I19" i="4"/>
  <c r="J19" i="4"/>
  <c r="G20" i="4"/>
  <c r="H20" i="4"/>
  <c r="I20" i="4"/>
  <c r="J20" i="4"/>
  <c r="G21" i="4"/>
  <c r="H21" i="4"/>
  <c r="I21" i="4"/>
  <c r="J21" i="4"/>
  <c r="G22" i="4"/>
  <c r="H22" i="4"/>
  <c r="I22" i="4"/>
  <c r="J22" i="4"/>
  <c r="G23" i="4"/>
  <c r="H23" i="4"/>
  <c r="I23" i="4"/>
  <c r="J23" i="4"/>
  <c r="G24" i="4"/>
  <c r="H24" i="4"/>
  <c r="I24" i="4"/>
  <c r="J24" i="4"/>
  <c r="G25" i="4"/>
  <c r="H25" i="4"/>
  <c r="I25" i="4"/>
  <c r="J25" i="4"/>
  <c r="G26" i="4"/>
  <c r="H26" i="4"/>
  <c r="I26" i="4"/>
  <c r="J26" i="4"/>
  <c r="G27" i="4"/>
  <c r="H27" i="4"/>
  <c r="I27" i="4"/>
  <c r="J27" i="4"/>
  <c r="G28" i="4"/>
  <c r="H28" i="4"/>
  <c r="I28" i="4"/>
  <c r="J28" i="4"/>
  <c r="G29" i="4"/>
  <c r="H29" i="4"/>
  <c r="I29" i="4"/>
  <c r="J29" i="4"/>
  <c r="H2" i="4"/>
  <c r="I2" i="4"/>
  <c r="J2" i="4"/>
  <c r="G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N5" i="2"/>
  <c r="N22" i="2"/>
  <c r="N23" i="2"/>
  <c r="N24" i="2"/>
  <c r="N25" i="2"/>
  <c r="N26" i="2"/>
  <c r="N27" i="2"/>
  <c r="N28" i="2"/>
  <c r="X7" i="2"/>
  <c r="AA5" i="2"/>
  <c r="X5" i="2"/>
  <c r="W5" i="2"/>
  <c r="Y9" i="2"/>
  <c r="W12" i="2"/>
  <c r="V12" i="2"/>
  <c r="AA20" i="2"/>
  <c r="Z20" i="2"/>
  <c r="Y20" i="2"/>
  <c r="X20" i="2"/>
  <c r="W20" i="2"/>
  <c r="AA19" i="2"/>
  <c r="Z19" i="2"/>
  <c r="X19" i="2"/>
  <c r="W19" i="2"/>
  <c r="AA18" i="2"/>
  <c r="Z18" i="2"/>
  <c r="W18" i="2"/>
  <c r="V18" i="2"/>
  <c r="AA17" i="2"/>
  <c r="Z17" i="2"/>
  <c r="Y17" i="2"/>
  <c r="W17" i="2"/>
  <c r="V17" i="2"/>
  <c r="AA16" i="2"/>
  <c r="Y16" i="2"/>
  <c r="AA15" i="2"/>
  <c r="Y15" i="2"/>
  <c r="X15" i="2"/>
  <c r="W15" i="2"/>
  <c r="V15" i="2"/>
  <c r="AA14" i="2"/>
  <c r="Z14" i="2"/>
  <c r="Y14" i="2"/>
  <c r="W14" i="2"/>
  <c r="AA13" i="2"/>
  <c r="Y13" i="2"/>
  <c r="W13" i="2"/>
  <c r="V13" i="2"/>
  <c r="AA11" i="2"/>
  <c r="X11" i="2"/>
  <c r="W11" i="2"/>
  <c r="AA10" i="2"/>
  <c r="Z10" i="2"/>
  <c r="X10" i="2"/>
  <c r="W10" i="2"/>
  <c r="V10" i="2"/>
  <c r="AA9" i="2"/>
  <c r="Z9" i="2"/>
  <c r="X9" i="2"/>
  <c r="W9" i="2"/>
  <c r="V9" i="2"/>
  <c r="AA8" i="2"/>
  <c r="Z8" i="2"/>
  <c r="Y8" i="2"/>
  <c r="X8" i="2"/>
  <c r="W8" i="2"/>
  <c r="Z7" i="2"/>
  <c r="W7" i="2"/>
  <c r="V7" i="2"/>
  <c r="Y6" i="2"/>
  <c r="X6" i="2"/>
  <c r="W6" i="2"/>
  <c r="AA4" i="2"/>
  <c r="X4" i="2"/>
  <c r="W4" i="2"/>
  <c r="AA3" i="2"/>
  <c r="Z3" i="2"/>
  <c r="X3" i="2"/>
  <c r="W3" i="2"/>
  <c r="AA2" i="2"/>
  <c r="Y2" i="2"/>
  <c r="W2" i="2"/>
  <c r="V2" i="2"/>
  <c r="L3" i="1" l="1"/>
  <c r="P3" i="1" s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L2" i="1"/>
  <c r="P2" i="1" s="1"/>
  <c r="K3" i="1"/>
  <c r="O3" i="1" s="1"/>
  <c r="K4" i="1"/>
  <c r="O4" i="1" s="1"/>
  <c r="K5" i="1"/>
  <c r="O5" i="1" s="1"/>
  <c r="K6" i="1"/>
  <c r="O6" i="1" s="1"/>
  <c r="K7" i="1"/>
  <c r="O7" i="1" s="1"/>
  <c r="K8" i="1"/>
  <c r="O8" i="1" s="1"/>
  <c r="K9" i="1"/>
  <c r="O9" i="1" s="1"/>
  <c r="K10" i="1"/>
  <c r="O10" i="1" s="1"/>
  <c r="K11" i="1"/>
  <c r="O11" i="1" s="1"/>
  <c r="K12" i="1"/>
  <c r="O12" i="1" s="1"/>
  <c r="K13" i="1"/>
  <c r="O13" i="1" s="1"/>
  <c r="K14" i="1"/>
  <c r="O14" i="1" s="1"/>
  <c r="K15" i="1"/>
  <c r="O15" i="1" s="1"/>
  <c r="K16" i="1"/>
  <c r="O16" i="1" s="1"/>
  <c r="K17" i="1"/>
  <c r="O17" i="1" s="1"/>
  <c r="K18" i="1"/>
  <c r="O18" i="1" s="1"/>
  <c r="K19" i="1"/>
  <c r="O19" i="1" s="1"/>
  <c r="K20" i="1"/>
  <c r="O20" i="1" s="1"/>
  <c r="K21" i="1"/>
  <c r="O21" i="1" s="1"/>
  <c r="K22" i="1"/>
  <c r="O22" i="1" s="1"/>
  <c r="K23" i="1"/>
  <c r="O23" i="1" s="1"/>
  <c r="K24" i="1"/>
  <c r="O24" i="1" s="1"/>
  <c r="K25" i="1"/>
  <c r="O25" i="1" s="1"/>
  <c r="K26" i="1"/>
  <c r="O26" i="1" s="1"/>
  <c r="K27" i="1"/>
  <c r="O27" i="1" s="1"/>
  <c r="K28" i="1"/>
  <c r="O28" i="1" s="1"/>
  <c r="K29" i="1"/>
  <c r="O29" i="1" s="1"/>
  <c r="K2" i="1"/>
  <c r="O2" i="1" s="1"/>
  <c r="J3" i="1"/>
  <c r="N3" i="1" s="1"/>
  <c r="J4" i="1"/>
  <c r="N4" i="1" s="1"/>
  <c r="J5" i="1"/>
  <c r="N5" i="1" s="1"/>
  <c r="J6" i="1"/>
  <c r="N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N12" i="1" s="1"/>
  <c r="J13" i="1"/>
  <c r="N13" i="1" s="1"/>
  <c r="J14" i="1"/>
  <c r="N14" i="1" s="1"/>
  <c r="J15" i="1"/>
  <c r="N15" i="1" s="1"/>
  <c r="J16" i="1"/>
  <c r="N16" i="1" s="1"/>
  <c r="J17" i="1"/>
  <c r="N17" i="1" s="1"/>
  <c r="J18" i="1"/>
  <c r="N18" i="1" s="1"/>
  <c r="J19" i="1"/>
  <c r="N19" i="1" s="1"/>
  <c r="J20" i="1"/>
  <c r="N20" i="1" s="1"/>
  <c r="J21" i="1"/>
  <c r="N21" i="1" s="1"/>
  <c r="J22" i="1"/>
  <c r="N22" i="1" s="1"/>
  <c r="J23" i="1"/>
  <c r="N23" i="1" s="1"/>
  <c r="J24" i="1"/>
  <c r="N24" i="1" s="1"/>
  <c r="J25" i="1"/>
  <c r="N25" i="1" s="1"/>
  <c r="J26" i="1"/>
  <c r="N26" i="1" s="1"/>
  <c r="J27" i="1"/>
  <c r="N27" i="1" s="1"/>
  <c r="J28" i="1"/>
  <c r="N28" i="1" s="1"/>
  <c r="J29" i="1"/>
  <c r="N29" i="1" s="1"/>
  <c r="J2" i="1"/>
  <c r="N2" i="1" s="1"/>
  <c r="I3" i="1"/>
  <c r="M3" i="1" s="1"/>
  <c r="I4" i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M26" i="1" s="1"/>
  <c r="I27" i="1"/>
  <c r="M27" i="1" s="1"/>
  <c r="I28" i="1"/>
  <c r="M28" i="1" s="1"/>
  <c r="I29" i="1"/>
  <c r="M29" i="1" s="1"/>
  <c r="I2" i="1"/>
  <c r="M2" i="1" s="1"/>
</calcChain>
</file>

<file path=xl/sharedStrings.xml><?xml version="1.0" encoding="utf-8"?>
<sst xmlns="http://schemas.openxmlformats.org/spreadsheetml/2006/main" count="418" uniqueCount="113">
  <si>
    <t>IFI6</t>
  </si>
  <si>
    <t>WASF2</t>
  </si>
  <si>
    <t>RTN2</t>
  </si>
  <si>
    <t>POLR1G</t>
  </si>
  <si>
    <t>ERCC1</t>
  </si>
  <si>
    <t>ERCC2</t>
  </si>
  <si>
    <t>Dot1L</t>
  </si>
  <si>
    <t>CSNK1G2</t>
  </si>
  <si>
    <t>NR1D1</t>
  </si>
  <si>
    <t>RAPGEFL1</t>
  </si>
  <si>
    <t>МАSТ3</t>
  </si>
  <si>
    <t>Crtc1</t>
  </si>
  <si>
    <t>ELL</t>
  </si>
  <si>
    <t>SAE1</t>
  </si>
  <si>
    <t>BBC3</t>
  </si>
  <si>
    <t>MKNK2</t>
  </si>
  <si>
    <t>PLK3</t>
  </si>
  <si>
    <t>UROD</t>
  </si>
  <si>
    <t>TOE1</t>
  </si>
  <si>
    <t>PVR</t>
  </si>
  <si>
    <t>AP3D1</t>
  </si>
  <si>
    <t>STX12</t>
  </si>
  <si>
    <t>Psmd3</t>
  </si>
  <si>
    <t>CCDC124</t>
  </si>
  <si>
    <t>PIK3R2</t>
  </si>
  <si>
    <t>IPP</t>
  </si>
  <si>
    <t>SLC6A9</t>
  </si>
  <si>
    <t>Meis3</t>
  </si>
  <si>
    <t>NE PBS</t>
  </si>
  <si>
    <t>NE DMSO</t>
  </si>
  <si>
    <t>NE DCCP</t>
  </si>
  <si>
    <t>NE PDS</t>
  </si>
  <si>
    <t>NE curax</t>
  </si>
  <si>
    <t>NE FU</t>
  </si>
  <si>
    <t>RNE FU</t>
  </si>
  <si>
    <t>RNE PDS</t>
  </si>
  <si>
    <t>RNE curax</t>
  </si>
  <si>
    <t>RNE DCCP</t>
  </si>
  <si>
    <t>fold change FU</t>
  </si>
  <si>
    <t>fold change PDS</t>
  </si>
  <si>
    <t>fold change curax</t>
  </si>
  <si>
    <t>fold change DCCP</t>
  </si>
  <si>
    <t>N of motifs</t>
  </si>
  <si>
    <t>N of all G4-seqs</t>
  </si>
  <si>
    <t>N of rel G4-seqs</t>
  </si>
  <si>
    <t>Max score of G4-seqs</t>
  </si>
  <si>
    <t>Max score of rel G4 seqs</t>
  </si>
  <si>
    <t>ENH: N of all G4-seqs</t>
  </si>
  <si>
    <t>ENH: N of BG4</t>
  </si>
  <si>
    <t>ENH: freq of all G4-seqs</t>
  </si>
  <si>
    <t>ENH:freq of BG4</t>
  </si>
  <si>
    <t>score YY1</t>
  </si>
  <si>
    <t>score pol2</t>
  </si>
  <si>
    <t>score CTCF</t>
  </si>
  <si>
    <t>score MAZ</t>
  </si>
  <si>
    <t>N of YY1</t>
  </si>
  <si>
    <t>N of  pol2</t>
  </si>
  <si>
    <t>N of  CTCF</t>
  </si>
  <si>
    <t>N of MAZ</t>
  </si>
  <si>
    <t>BRD4 number</t>
  </si>
  <si>
    <t>BRD4 score</t>
  </si>
  <si>
    <t>h3k27ac number</t>
  </si>
  <si>
    <t>h3k27ac score</t>
  </si>
  <si>
    <t>N of G4-p</t>
  </si>
  <si>
    <t>Max score of G4-p</t>
  </si>
  <si>
    <t xml:space="preserve"> PDS</t>
  </si>
  <si>
    <t>curax</t>
  </si>
  <si>
    <t>DCCP</t>
  </si>
  <si>
    <t>curax enh</t>
  </si>
  <si>
    <t xml:space="preserve"> 5-FU enh</t>
  </si>
  <si>
    <t>DCCP enh</t>
  </si>
  <si>
    <t xml:space="preserve"> PDS enh</t>
  </si>
  <si>
    <t xml:space="preserve"> 5-FU</t>
  </si>
  <si>
    <t>считаю всё на пиках H3K4me3</t>
  </si>
  <si>
    <t>SE 5-FU</t>
  </si>
  <si>
    <t>SE PDS</t>
  </si>
  <si>
    <t>no SE 5-FU</t>
  </si>
  <si>
    <t>no SE PDS</t>
  </si>
  <si>
    <t>no SE curax</t>
  </si>
  <si>
    <t>no SE DCCP</t>
  </si>
  <si>
    <t xml:space="preserve"> SE curax</t>
  </si>
  <si>
    <t xml:space="preserve"> SE DCCP</t>
  </si>
  <si>
    <t>alt fold change FU</t>
  </si>
  <si>
    <t>alt fold change PDS</t>
  </si>
  <si>
    <t>alt fold change curax</t>
  </si>
  <si>
    <t>alt fold change DCCP</t>
  </si>
  <si>
    <t>statistic=-1.3898326112828963, pvalue=0.17636624432502804</t>
  </si>
  <si>
    <t>gene</t>
  </si>
  <si>
    <t>n</t>
  </si>
  <si>
    <t>FU log(FC)</t>
  </si>
  <si>
    <t>PDS log(FC)</t>
  </si>
  <si>
    <t>curax log(FC)</t>
  </si>
  <si>
    <t>CDDP log(FC)</t>
  </si>
  <si>
    <t xml:space="preserve"> YY1 score</t>
  </si>
  <si>
    <t xml:space="preserve"> pol2 score</t>
  </si>
  <si>
    <t xml:space="preserve"> c-myc score</t>
  </si>
  <si>
    <t xml:space="preserve"> CTCF score</t>
  </si>
  <si>
    <t xml:space="preserve"> SP1 score</t>
  </si>
  <si>
    <t xml:space="preserve"> MAZ score</t>
  </si>
  <si>
    <t>YY1 number</t>
  </si>
  <si>
    <t>pol2 number</t>
  </si>
  <si>
    <t>c-MYC number</t>
  </si>
  <si>
    <t>CTCF number</t>
  </si>
  <si>
    <t>SP1 number</t>
  </si>
  <si>
    <t>MAZ number</t>
  </si>
  <si>
    <t>H3K27ac number</t>
  </si>
  <si>
    <t>H3K27ac score</t>
  </si>
  <si>
    <t>BG4 score</t>
  </si>
  <si>
    <t>BG4 number</t>
  </si>
  <si>
    <t>G4-motifs number</t>
  </si>
  <si>
    <t>G4-seqs number</t>
  </si>
  <si>
    <t>G4-seqs score</t>
  </si>
  <si>
    <t>SE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</si>
</sst>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5"/>
      <name val="Arial"/>
      <family val="2"/>
      <charset val="204"/>
    </font>
    <font>
      <b/>
      <sz val="10"/>
      <color theme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5"/>
      <name val="Calibri"/>
      <family val="2"/>
      <charset val="204"/>
      <scheme val="minor"/>
    </font>
    <font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onsolas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4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Fill="1"/>
    <xf numFmtId="2" fontId="7" fillId="0" borderId="0" xfId="0" applyNumberFormat="1" applyFont="1" applyFill="1"/>
    <xf numFmtId="1" fontId="8" fillId="0" borderId="0" xfId="0" applyNumberFormat="1" applyFont="1" applyFill="1"/>
    <xf numFmtId="0" fontId="9" fillId="0" borderId="0" xfId="0" applyFont="1" applyFill="1"/>
    <xf numFmtId="0" fontId="9" fillId="0" borderId="0" xfId="0" applyFont="1" applyFill="1" applyBorder="1"/>
    <xf numFmtId="0" fontId="8" fillId="0" borderId="0" xfId="0" applyFont="1" applyFill="1"/>
    <xf numFmtId="2" fontId="7" fillId="0" borderId="0" xfId="0" applyNumberFormat="1" applyFont="1" applyFill="1" applyBorder="1"/>
    <xf numFmtId="0" fontId="10" fillId="0" borderId="0" xfId="0" applyFont="1"/>
    <xf numFmtId="0" fontId="9" fillId="0" borderId="0" xfId="0" applyFont="1"/>
    <xf numFmtId="1" fontId="8" fillId="0" borderId="0" xfId="0" applyNumberFormat="1" applyFont="1" applyFill="1" applyBorder="1"/>
    <xf numFmtId="2" fontId="0" fillId="0" borderId="0" xfId="0" applyNumberFormat="1" applyFill="1" applyBorder="1"/>
    <xf numFmtId="0" fontId="1" fillId="2" borderId="1" xfId="0" applyFont="1" applyFill="1" applyBorder="1" applyAlignment="1">
      <alignment wrapText="1"/>
    </xf>
    <xf numFmtId="1" fontId="9" fillId="0" borderId="0" xfId="0" applyNumberFormat="1" applyFont="1" applyFill="1"/>
    <xf numFmtId="0" fontId="0" fillId="0" borderId="0" xfId="0" applyFill="1"/>
    <xf numFmtId="0" fontId="1" fillId="0" borderId="1" xfId="0" applyFont="1" applyFill="1" applyBorder="1" applyAlignment="1">
      <alignment wrapText="1"/>
    </xf>
    <xf numFmtId="2" fontId="11" fillId="0" borderId="0" xfId="0" applyNumberFormat="1" applyFont="1" applyFill="1"/>
    <xf numFmtId="0" fontId="1" fillId="0" borderId="6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A549. 5-FU</a:t>
            </a:r>
            <a:endParaRPr lang="ru-RU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2D2D2795-DA72-41ED-80F2-EEF770436133}">
          <cx:tx>
            <cx:txData>
              <cx:f>_xlchart.v1.36</cx:f>
              <cx:v>SE 5-FU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982886D-372D-4007-BEC8-B799E73B754C}">
          <cx:tx>
            <cx:txData>
              <cx:f>_xlchart.v1.38</cx:f>
              <cx:v>no SE 5-FU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  <cx:data id="1"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A549. PDS</a:t>
            </a:r>
            <a:endParaRPr lang="ru-RU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6BBF4E1A-E232-4A79-B3E0-1EF8BDB46E3C}">
          <cx:tx>
            <cx:txData>
              <cx:f>_xlchart.v1.44</cx:f>
              <cx:v>SE PDS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3F69CAEF-D8E0-47DE-9B90-6B18EEBE9AE7}">
          <cx:tx>
            <cx:txData>
              <cx:f>_xlchart.v1.46</cx:f>
              <cx:v>no SE PDS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A549. Curaxin</a:t>
            </a:r>
            <a:endParaRPr lang="ru-RU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C7E2A550-3347-4EE5-8A1E-F4BE456FFE25}">
          <cx:tx>
            <cx:txData>
              <cx:f>_xlchart.v1.40</cx:f>
              <cx:v> SE curax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99D2048-193E-40F2-A380-0426A7FD25B3}">
          <cx:tx>
            <cx:txData>
              <cx:f>_xlchart.v1.42</cx:f>
              <cx:v>no SE curax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  <cx:data id="1">
      <cx:numDim type="val">
        <cx:f>_xlchart.v1.51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A549. DCCP</a:t>
            </a:r>
            <a:endParaRPr lang="ru-RU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6766E20F-9F35-4C96-B092-E684DA2CFEE6}">
          <cx:tx>
            <cx:txData>
              <cx:f>_xlchart.v1.48</cx:f>
              <cx:v> SE DCCP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2A97F2A4-E27B-40A4-AAF7-3B270D2DA831}">
          <cx:tx>
            <cx:txData>
              <cx:f>_xlchart.v1.50</cx:f>
              <cx:v>no SE DCCP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latin typeface="+mj-lt"/>
              </a:defRPr>
            </a:pPr>
            <a:r>
              <a:rPr lang="en-US" sz="2000" b="0" i="0" baseline="0">
                <a:effectLst/>
                <a:latin typeface="+mj-lt"/>
              </a:rPr>
              <a:t>A549. 5-FU</a:t>
            </a:r>
            <a:endParaRPr lang="ru-RU" sz="2000">
              <a:effectLst/>
              <a:latin typeface="+mj-lt"/>
            </a:endParaRPr>
          </a:p>
        </cx:rich>
      </cx:tx>
    </cx:title>
    <cx:plotArea>
      <cx:plotAreaRegion>
        <cx:series layoutId="boxWhisker" uniqueId="{E38855A0-E94D-4D18-8451-C124396FBC26}">
          <cx:tx>
            <cx:txData>
              <cx:f>_xlchart.v1.32</cx:f>
              <cx:v>SE 5-FU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ABC3B31-75E3-4648-812B-9A336DEE0133}">
          <cx:tx>
            <cx:txData>
              <cx:f>_xlchart.v1.34</cx:f>
              <cx:v>no SE 5-FU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  <cx:data id="1">
      <cx:numDim type="val">
        <cx:f>_xlchart.v1.59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 Light" panose="020F0302020204030204"/>
                <a:ea typeface="Calibri" panose="020F0502020204030204" pitchFamily="34" charset="0"/>
                <a:cs typeface="Calibri" panose="020F0502020204030204" pitchFamily="34" charset="0"/>
              </a:rPr>
              <a:t>A549. PDS</a:t>
            </a:r>
            <a:endParaRPr lang="ru-RU">
              <a:effectLst/>
            </a:endParaRPr>
          </a:p>
        </cx:rich>
      </cx:tx>
    </cx:title>
    <cx:plotArea>
      <cx:plotAreaRegion>
        <cx:series layoutId="boxWhisker" uniqueId="{082F3F00-116E-480F-A021-BA759D31E9A1}">
          <cx:tx>
            <cx:txData>
              <cx:f>_xlchart.v1.56</cx:f>
              <cx:v>SE PDS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7BAA5BC-2213-4CEC-8D31-D5524333008B}">
          <cx:tx>
            <cx:txData>
              <cx:f>_xlchart.v1.58</cx:f>
              <cx:v>no SE PDS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_xlchart.v1.63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 Light" panose="020F0302020204030204"/>
                <a:ea typeface="Calibri" panose="020F0502020204030204" pitchFamily="34" charset="0"/>
                <a:cs typeface="Calibri" panose="020F0502020204030204" pitchFamily="34" charset="0"/>
              </a:rPr>
              <a:t>A549. Curaxin</a:t>
            </a:r>
            <a:endParaRPr lang="ru-RU">
              <a:effectLst/>
            </a:endParaRPr>
          </a:p>
        </cx:rich>
      </cx:tx>
    </cx:title>
    <cx:plotArea>
      <cx:plotAreaRegion>
        <cx:series layoutId="boxWhisker" uniqueId="{84BD68A1-8B6D-47DD-BA47-C37367C138ED}">
          <cx:tx>
            <cx:txData>
              <cx:f>_xlchart.v1.60</cx:f>
              <cx:v> SE curax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F72D416-0FDB-4B83-88FF-31D8D87D46DA}">
          <cx:tx>
            <cx:txData>
              <cx:f>_xlchart.v1.62</cx:f>
              <cx:v>no SE curax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  <cx:data id="1">
      <cx:numDim type="val">
        <cx:f>_xlchart.v1.55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 Light" panose="020F0302020204030204"/>
                <a:ea typeface="Calibri" panose="020F0502020204030204" pitchFamily="34" charset="0"/>
                <a:cs typeface="Calibri" panose="020F0502020204030204" pitchFamily="34" charset="0"/>
              </a:rPr>
              <a:t>A549. DCCP</a:t>
            </a:r>
            <a:endParaRPr lang="ru-RU">
              <a:effectLst/>
            </a:endParaRPr>
          </a:p>
        </cx:rich>
      </cx:tx>
    </cx:title>
    <cx:plotArea>
      <cx:plotAreaRegion>
        <cx:series layoutId="boxWhisker" uniqueId="{6430ECCD-A34E-44A5-BC5D-CA7DE20B110C}">
          <cx:tx>
            <cx:txData>
              <cx:f>_xlchart.v1.52</cx:f>
              <cx:v> SE DCCP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7F86218-A5B0-468B-B165-E0D817CF0AD0}">
          <cx:tx>
            <cx:txData>
              <cx:f>_xlchart.v1.54</cx:f>
              <cx:v>no SE DCCP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  <cx:data id="1">
      <cx:numDim type="val">
        <cx:f>_xlchart.v1.67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5-FU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FA2BA086-AF0C-45CA-BEF7-8799F3C26313}">
          <cx:tx>
            <cx:txData>
              <cx:f>_xlchart.v1.64</cx:f>
              <cx:v> 5-FU enh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D10DDD1-ED31-4994-98FE-61723DAE7C29}">
          <cx:tx>
            <cx:txData>
              <cx:f>_xlchart.v1.66</cx:f>
              <cx:v> 5-FU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ru-RU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_xlchart.v1.77</cx:f>
      </cx:numDim>
    </cx:data>
    <cx:data id="1">
      <cx:numDim type="val">
        <cx:f>_xlchart.v1.79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Curax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B22E57DC-0B57-48CB-B1E8-4D91852BF640}">
          <cx:tx>
            <cx:txData>
              <cx:f>_xlchart.v1.76</cx:f>
              <cx:v>curax enh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21CFE5C-D95C-43BE-B892-6FFED4EA9A2E}">
          <cx:tx>
            <cx:txData>
              <cx:f>_xlchart.v1.78</cx:f>
              <cx:v>curax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  <cx:data id="1">
      <cx:numDim type="val">
        <cx:f>_xlchart.v1.71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DCCP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D487D7D5-5668-4834-A49F-86541D54B60F}">
          <cx:tx>
            <cx:txData>
              <cx:f>_xlchart.v1.68</cx:f>
              <cx:v>DCCP enh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83FE6AA4-BB9E-4DCA-98CF-B6AF79D19E9A}">
          <cx:tx>
            <cx:txData>
              <cx:f>_xlchart.v1.70</cx:f>
              <cx:v>DCCP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  <cx:data id="1">
      <cx:numDim type="val">
        <cx:f>_xlchart.v1.75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PDS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9E8C3630-DCE5-4475-BAC5-C6395576FB75}">
          <cx:tx>
            <cx:txData>
              <cx:f>_xlchart.v1.72</cx:f>
              <cx:v> PDS enh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D19521F-A981-400C-A744-4854BBC8DDB0}">
          <cx:tx>
            <cx:txData>
              <cx:f>_xlchart.v1.74</cx:f>
              <cx:v> PDS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9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6.xml"/><Relationship Id="rId3" Type="http://schemas.microsoft.com/office/2014/relationships/chartEx" Target="../charts/chartEx11.xml"/><Relationship Id="rId7" Type="http://schemas.microsoft.com/office/2014/relationships/chartEx" Target="../charts/chartEx15.xml"/><Relationship Id="rId2" Type="http://schemas.microsoft.com/office/2014/relationships/chartEx" Target="../charts/chartEx10.xml"/><Relationship Id="rId1" Type="http://schemas.microsoft.com/office/2014/relationships/chartEx" Target="../charts/chartEx9.xml"/><Relationship Id="rId6" Type="http://schemas.microsoft.com/office/2014/relationships/chartEx" Target="../charts/chartEx14.xml"/><Relationship Id="rId5" Type="http://schemas.microsoft.com/office/2014/relationships/chartEx" Target="../charts/chartEx13.xml"/><Relationship Id="rId4" Type="http://schemas.microsoft.com/office/2014/relationships/chartEx" Target="../charts/chartEx1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9.xml"/><Relationship Id="rId2" Type="http://schemas.microsoft.com/office/2014/relationships/chartEx" Target="../charts/chartEx18.xml"/><Relationship Id="rId1" Type="http://schemas.microsoft.com/office/2014/relationships/chartEx" Target="../charts/chartEx17.xml"/><Relationship Id="rId4" Type="http://schemas.microsoft.com/office/2014/relationships/chartEx" Target="../charts/chartEx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1133475</xdr:colOff>
      <xdr:row>38</xdr:row>
      <xdr:rowOff>180975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477FB0-19CA-4A9D-987C-02F5AAA83FF7}"/>
            </a:ext>
          </a:extLst>
        </xdr:cNvPr>
        <xdr:cNvSpPr txBox="1"/>
      </xdr:nvSpPr>
      <xdr:spPr>
        <a:xfrm>
          <a:off x="11610975" y="864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35</xdr:row>
      <xdr:rowOff>52387</xdr:rowOff>
    </xdr:from>
    <xdr:to>
      <xdr:col>6</xdr:col>
      <xdr:colOff>514350</xdr:colOff>
      <xdr:row>48</xdr:row>
      <xdr:rowOff>195262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7B0F5FE8-D1C1-48A8-8EC9-EE6EED9AA5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Прямоугольник 1"/>
            <xdr:cNvSpPr>
              <a:spLocks noTextEdit="1"/>
            </xdr:cNvSpPr>
          </xdr:nvSpPr>
          <xdr:spPr>
            <a:xfrm>
              <a:off x="1581150" y="7348537"/>
              <a:ext cx="28479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7</xdr:col>
      <xdr:colOff>28575</xdr:colOff>
      <xdr:row>33</xdr:row>
      <xdr:rowOff>147637</xdr:rowOff>
    </xdr:from>
    <xdr:to>
      <xdr:col>11</xdr:col>
      <xdr:colOff>28575</xdr:colOff>
      <xdr:row>47</xdr:row>
      <xdr:rowOff>90487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FA6336F8-3BC2-4176-985C-8B81208BEF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Прямоугольник 2"/>
            <xdr:cNvSpPr>
              <a:spLocks noTextEdit="1"/>
            </xdr:cNvSpPr>
          </xdr:nvSpPr>
          <xdr:spPr>
            <a:xfrm>
              <a:off x="4552950" y="7043737"/>
              <a:ext cx="2533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11</xdr:col>
      <xdr:colOff>28574</xdr:colOff>
      <xdr:row>35</xdr:row>
      <xdr:rowOff>61912</xdr:rowOff>
    </xdr:from>
    <xdr:to>
      <xdr:col>15</xdr:col>
      <xdr:colOff>247649</xdr:colOff>
      <xdr:row>49</xdr:row>
      <xdr:rowOff>4762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23701780-5774-49AC-BF1E-D17A49FAA6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Прямоугольник 3"/>
            <xdr:cNvSpPr>
              <a:spLocks noTextEdit="1"/>
            </xdr:cNvSpPr>
          </xdr:nvSpPr>
          <xdr:spPr>
            <a:xfrm>
              <a:off x="7086599" y="7358062"/>
              <a:ext cx="29908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15</xdr:col>
      <xdr:colOff>247650</xdr:colOff>
      <xdr:row>35</xdr:row>
      <xdr:rowOff>52387</xdr:rowOff>
    </xdr:from>
    <xdr:to>
      <xdr:col>19</xdr:col>
      <xdr:colOff>476250</xdr:colOff>
      <xdr:row>48</xdr:row>
      <xdr:rowOff>195262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D3E65CF5-917F-4CCB-A8F5-12E4360B4E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Прямоугольник 4"/>
            <xdr:cNvSpPr>
              <a:spLocks noTextEdit="1"/>
            </xdr:cNvSpPr>
          </xdr:nvSpPr>
          <xdr:spPr>
            <a:xfrm>
              <a:off x="10077450" y="7348537"/>
              <a:ext cx="2667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1</xdr:row>
      <xdr:rowOff>128587</xdr:rowOff>
    </xdr:from>
    <xdr:to>
      <xdr:col>26</xdr:col>
      <xdr:colOff>266700</xdr:colOff>
      <xdr:row>15</xdr:row>
      <xdr:rowOff>71437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6" name="Диаграмма 5">
              <a:extLst>
                <a:ext uri="{FF2B5EF4-FFF2-40B4-BE49-F238E27FC236}">
                  <a16:creationId xmlns:a16="http://schemas.microsoft.com/office/drawing/2014/main" id="{C20BF213-B4F3-49D2-848B-F46B1CF0FF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Прямоугольник 5"/>
            <xdr:cNvSpPr>
              <a:spLocks noTextEdit="1"/>
            </xdr:cNvSpPr>
          </xdr:nvSpPr>
          <xdr:spPr>
            <a:xfrm>
              <a:off x="14097000" y="633412"/>
              <a:ext cx="27051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26</xdr:col>
      <xdr:colOff>285750</xdr:colOff>
      <xdr:row>1</xdr:row>
      <xdr:rowOff>119062</xdr:rowOff>
    </xdr:from>
    <xdr:to>
      <xdr:col>31</xdr:col>
      <xdr:colOff>285749</xdr:colOff>
      <xdr:row>15</xdr:row>
      <xdr:rowOff>61912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563874A5-45E4-4838-8044-F1A9ADDFE3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7" name="Прямоугольник 6"/>
            <xdr:cNvSpPr>
              <a:spLocks noTextEdit="1"/>
            </xdr:cNvSpPr>
          </xdr:nvSpPr>
          <xdr:spPr>
            <a:xfrm>
              <a:off x="16821150" y="623887"/>
              <a:ext cx="304799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31</xdr:col>
      <xdr:colOff>295274</xdr:colOff>
      <xdr:row>1</xdr:row>
      <xdr:rowOff>128587</xdr:rowOff>
    </xdr:from>
    <xdr:to>
      <xdr:col>35</xdr:col>
      <xdr:colOff>609599</xdr:colOff>
      <xdr:row>15</xdr:row>
      <xdr:rowOff>71437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45187D99-E5F8-4851-A5C7-6BFEFF8B33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8" name="Прямоугольник 7"/>
            <xdr:cNvSpPr>
              <a:spLocks noTextEdit="1"/>
            </xdr:cNvSpPr>
          </xdr:nvSpPr>
          <xdr:spPr>
            <a:xfrm>
              <a:off x="19878674" y="633412"/>
              <a:ext cx="275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36</xdr:col>
      <xdr:colOff>352424</xdr:colOff>
      <xdr:row>0</xdr:row>
      <xdr:rowOff>433387</xdr:rowOff>
    </xdr:from>
    <xdr:to>
      <xdr:col>42</xdr:col>
      <xdr:colOff>552450</xdr:colOff>
      <xdr:row>14</xdr:row>
      <xdr:rowOff>71437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D05652F4-68D2-4A51-B024-6BD4F4BDD6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9" name="Прямоугольник 8"/>
            <xdr:cNvSpPr>
              <a:spLocks noTextEdit="1"/>
            </xdr:cNvSpPr>
          </xdr:nvSpPr>
          <xdr:spPr>
            <a:xfrm>
              <a:off x="22983824" y="433387"/>
              <a:ext cx="385762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oneCellAnchor>
    <xdr:from>
      <xdr:col>37</xdr:col>
      <xdr:colOff>371475</xdr:colOff>
      <xdr:row>4</xdr:row>
      <xdr:rowOff>38100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C209F80-7531-4B8A-A600-B72CC1E64A0C}"/>
            </a:ext>
          </a:extLst>
        </xdr:cNvPr>
        <xdr:cNvSpPr txBox="1"/>
      </xdr:nvSpPr>
      <xdr:spPr>
        <a:xfrm>
          <a:off x="23612475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40</xdr:col>
      <xdr:colOff>495300</xdr:colOff>
      <xdr:row>4</xdr:row>
      <xdr:rowOff>180975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E47DACF-0455-4D88-A58D-FEB7DB8DC01F}"/>
            </a:ext>
          </a:extLst>
        </xdr:cNvPr>
        <xdr:cNvSpPr txBox="1"/>
      </xdr:nvSpPr>
      <xdr:spPr>
        <a:xfrm>
          <a:off x="25565100" y="128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476250</xdr:colOff>
      <xdr:row>2</xdr:row>
      <xdr:rowOff>19050</xdr:rowOff>
    </xdr:from>
    <xdr:ext cx="91903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6B2C8B3-101B-4743-B8B3-65D5BCC5A77C}"/>
            </a:ext>
          </a:extLst>
        </xdr:cNvPr>
        <xdr:cNvSpPr txBox="1"/>
      </xdr:nvSpPr>
      <xdr:spPr>
        <a:xfrm>
          <a:off x="23107650" y="723900"/>
          <a:ext cx="9190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pvalue=0.18</a:t>
          </a:r>
          <a:r>
            <a:rPr lang="fr-CA">
              <a:effectLst/>
            </a:rPr>
            <a:t> </a:t>
          </a:r>
          <a:endParaRPr lang="ru-RU" sz="1100"/>
        </a:p>
      </xdr:txBody>
    </xdr:sp>
    <xdr:clientData/>
  </xdr:oneCellAnchor>
  <xdr:oneCellAnchor>
    <xdr:from>
      <xdr:col>34</xdr:col>
      <xdr:colOff>133350</xdr:colOff>
      <xdr:row>3</xdr:row>
      <xdr:rowOff>28575</xdr:rowOff>
    </xdr:from>
    <xdr:ext cx="887166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5F5D8E0-BBD4-47F5-AB88-AF318A4CC03F}"/>
            </a:ext>
          </a:extLst>
        </xdr:cNvPr>
        <xdr:cNvSpPr txBox="1"/>
      </xdr:nvSpPr>
      <xdr:spPr>
        <a:xfrm>
          <a:off x="21545550" y="933450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pvalue=0.09</a:t>
          </a:r>
          <a:endParaRPr lang="ru-RU" sz="1100"/>
        </a:p>
      </xdr:txBody>
    </xdr:sp>
    <xdr:clientData/>
  </xdr:oneCellAnchor>
  <xdr:oneCellAnchor>
    <xdr:from>
      <xdr:col>26</xdr:col>
      <xdr:colOff>409575</xdr:colOff>
      <xdr:row>2</xdr:row>
      <xdr:rowOff>161925</xdr:rowOff>
    </xdr:from>
    <xdr:ext cx="887166" cy="436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D7461B-EB35-4F3B-9088-584E20482459}"/>
            </a:ext>
          </a:extLst>
        </xdr:cNvPr>
        <xdr:cNvSpPr txBox="1"/>
      </xdr:nvSpPr>
      <xdr:spPr>
        <a:xfrm>
          <a:off x="16944975" y="866775"/>
          <a:ext cx="8871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pvalue=0.72</a:t>
          </a:r>
          <a:endParaRPr lang="ru-RU">
            <a:effectLst/>
          </a:endParaRPr>
        </a:p>
        <a:p>
          <a:endParaRPr lang="ru-RU" sz="1100"/>
        </a:p>
      </xdr:txBody>
    </xdr:sp>
    <xdr:clientData/>
  </xdr:oneCellAnchor>
  <xdr:oneCellAnchor>
    <xdr:from>
      <xdr:col>22</xdr:col>
      <xdr:colOff>9525</xdr:colOff>
      <xdr:row>3</xdr:row>
      <xdr:rowOff>19050</xdr:rowOff>
    </xdr:from>
    <xdr:ext cx="887166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E3AF004-992F-4EF8-9AA4-E91F4D137DC5}"/>
            </a:ext>
          </a:extLst>
        </xdr:cNvPr>
        <xdr:cNvSpPr txBox="1"/>
      </xdr:nvSpPr>
      <xdr:spPr>
        <a:xfrm>
          <a:off x="14106525" y="923925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pvalue=0.19</a:t>
          </a:r>
          <a:endParaRPr lang="ru-RU" sz="1100"/>
        </a:p>
      </xdr:txBody>
    </xdr:sp>
    <xdr:clientData/>
  </xdr:oneCellAnchor>
  <xdr:oneCellAnchor>
    <xdr:from>
      <xdr:col>15</xdr:col>
      <xdr:colOff>285750</xdr:colOff>
      <xdr:row>36</xdr:row>
      <xdr:rowOff>142875</xdr:rowOff>
    </xdr:from>
    <xdr:ext cx="887166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0D9411A-6F32-4502-A1DC-9A15B32C451F}"/>
            </a:ext>
          </a:extLst>
        </xdr:cNvPr>
        <xdr:cNvSpPr txBox="1"/>
      </xdr:nvSpPr>
      <xdr:spPr>
        <a:xfrm>
          <a:off x="10115550" y="7639050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pvalue=0.78</a:t>
          </a:r>
          <a:endParaRPr lang="ru-RU" sz="1100"/>
        </a:p>
      </xdr:txBody>
    </xdr:sp>
    <xdr:clientData/>
  </xdr:oneCellAnchor>
  <xdr:oneCellAnchor>
    <xdr:from>
      <xdr:col>11</xdr:col>
      <xdr:colOff>133350</xdr:colOff>
      <xdr:row>36</xdr:row>
      <xdr:rowOff>152400</xdr:rowOff>
    </xdr:from>
    <xdr:ext cx="88716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E3E93DF-BFA9-475C-AEF3-47BA419865D2}"/>
            </a:ext>
          </a:extLst>
        </xdr:cNvPr>
        <xdr:cNvSpPr txBox="1"/>
      </xdr:nvSpPr>
      <xdr:spPr>
        <a:xfrm>
          <a:off x="7191375" y="7648575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pvalue=0.11</a:t>
          </a:r>
          <a:endParaRPr lang="ru-RU" sz="1100"/>
        </a:p>
      </xdr:txBody>
    </xdr:sp>
    <xdr:clientData/>
  </xdr:oneCellAnchor>
  <xdr:oneCellAnchor>
    <xdr:from>
      <xdr:col>7</xdr:col>
      <xdr:colOff>228600</xdr:colOff>
      <xdr:row>37</xdr:row>
      <xdr:rowOff>57150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89D211-C2B9-4CAF-BA39-057CFD0D2A5C}"/>
            </a:ext>
          </a:extLst>
        </xdr:cNvPr>
        <xdr:cNvSpPr txBox="1"/>
      </xdr:nvSpPr>
      <xdr:spPr>
        <a:xfrm>
          <a:off x="4752975" y="775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20</xdr:col>
      <xdr:colOff>0</xdr:colOff>
      <xdr:row>1</xdr:row>
      <xdr:rowOff>0</xdr:rowOff>
    </xdr:from>
    <xdr:to>
      <xdr:col>21</xdr:col>
      <xdr:colOff>57150</xdr:colOff>
      <xdr:row>3</xdr:row>
      <xdr:rowOff>171450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EC34404F-0AD6-49F5-93CE-AFA2AC3BD5F0}"/>
            </a:ext>
          </a:extLst>
        </xdr:cNvPr>
        <xdr:cNvSpPr txBox="1">
          <a:spLocks noChangeArrowheads="1"/>
        </xdr:cNvSpPr>
      </xdr:nvSpPr>
      <xdr:spPr bwMode="auto">
        <a:xfrm>
          <a:off x="12877800" y="504825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pvalue=0.642</a:t>
          </a:r>
        </a:p>
      </xdr:txBody>
    </xdr:sp>
    <xdr:clientData/>
  </xdr:twoCellAnchor>
  <xdr:oneCellAnchor>
    <xdr:from>
      <xdr:col>7</xdr:col>
      <xdr:colOff>352425</xdr:colOff>
      <xdr:row>35</xdr:row>
      <xdr:rowOff>57150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08FF785-423B-4F61-8B98-EC9440D66B81}"/>
            </a:ext>
          </a:extLst>
        </xdr:cNvPr>
        <xdr:cNvSpPr txBox="1"/>
      </xdr:nvSpPr>
      <xdr:spPr>
        <a:xfrm>
          <a:off x="4876800" y="735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47625</xdr:colOff>
      <xdr:row>35</xdr:row>
      <xdr:rowOff>19050</xdr:rowOff>
    </xdr:from>
    <xdr:ext cx="887166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E762C6E-C7F3-4AEC-8B8F-B9A3EA7FF468}"/>
            </a:ext>
          </a:extLst>
        </xdr:cNvPr>
        <xdr:cNvSpPr txBox="1"/>
      </xdr:nvSpPr>
      <xdr:spPr>
        <a:xfrm>
          <a:off x="4572000" y="7315200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pvalue=0.64</a:t>
          </a:r>
          <a:endParaRPr lang="ru-RU" sz="1100"/>
        </a:p>
      </xdr:txBody>
    </xdr:sp>
    <xdr:clientData/>
  </xdr:oneCellAnchor>
  <xdr:oneCellAnchor>
    <xdr:from>
      <xdr:col>2</xdr:col>
      <xdr:colOff>371475</xdr:colOff>
      <xdr:row>36</xdr:row>
      <xdr:rowOff>133350</xdr:rowOff>
    </xdr:from>
    <xdr:ext cx="887166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D943676-FAB2-43B4-BEF9-823D0313C1AB}"/>
            </a:ext>
          </a:extLst>
        </xdr:cNvPr>
        <xdr:cNvSpPr txBox="1"/>
      </xdr:nvSpPr>
      <xdr:spPr>
        <a:xfrm>
          <a:off x="1590675" y="7629525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pvalue=0.59</a:t>
          </a:r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581024</xdr:colOff>
      <xdr:row>42</xdr:row>
      <xdr:rowOff>133350</xdr:rowOff>
    </xdr:from>
    <xdr:to>
      <xdr:col>12</xdr:col>
      <xdr:colOff>804861</xdr:colOff>
      <xdr:row>55</xdr:row>
      <xdr:rowOff>4762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10" name="Диаграмма 9">
              <a:extLst>
                <a:ext uri="{FF2B5EF4-FFF2-40B4-BE49-F238E27FC236}">
                  <a16:creationId xmlns:a16="http://schemas.microsoft.com/office/drawing/2014/main" id="{C92431A0-FB1D-4D1B-BC84-7FA6AB664D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Прямоугольник 1"/>
            <xdr:cNvSpPr>
              <a:spLocks noTextEdit="1"/>
            </xdr:cNvSpPr>
          </xdr:nvSpPr>
          <xdr:spPr>
            <a:xfrm>
              <a:off x="5105399" y="9363075"/>
              <a:ext cx="3271837" cy="2347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12</xdr:col>
      <xdr:colOff>638176</xdr:colOff>
      <xdr:row>42</xdr:row>
      <xdr:rowOff>123825</xdr:rowOff>
    </xdr:from>
    <xdr:to>
      <xdr:col>14</xdr:col>
      <xdr:colOff>561976</xdr:colOff>
      <xdr:row>54</xdr:row>
      <xdr:rowOff>123825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047CA959-5D06-4A4A-B932-1C9F7F016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Прямоугольник 2"/>
            <xdr:cNvSpPr>
              <a:spLocks noTextEdit="1"/>
            </xdr:cNvSpPr>
          </xdr:nvSpPr>
          <xdr:spPr>
            <a:xfrm>
              <a:off x="8210551" y="9353550"/>
              <a:ext cx="200025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14</xdr:col>
      <xdr:colOff>485774</xdr:colOff>
      <xdr:row>42</xdr:row>
      <xdr:rowOff>76199</xdr:rowOff>
    </xdr:from>
    <xdr:to>
      <xdr:col>15</xdr:col>
      <xdr:colOff>1485900</xdr:colOff>
      <xdr:row>54</xdr:row>
      <xdr:rowOff>76200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12" name="Диаграмма 11">
              <a:extLst>
                <a:ext uri="{FF2B5EF4-FFF2-40B4-BE49-F238E27FC236}">
                  <a16:creationId xmlns:a16="http://schemas.microsoft.com/office/drawing/2014/main" id="{EB50CB22-F21E-4C0A-B960-A546B85D68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Прямоугольник 3"/>
            <xdr:cNvSpPr>
              <a:spLocks noTextEdit="1"/>
            </xdr:cNvSpPr>
          </xdr:nvSpPr>
          <xdr:spPr>
            <a:xfrm>
              <a:off x="10134599" y="9305924"/>
              <a:ext cx="2162176" cy="2286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15</xdr:col>
      <xdr:colOff>1409700</xdr:colOff>
      <xdr:row>41</xdr:row>
      <xdr:rowOff>180975</xdr:rowOff>
    </xdr:from>
    <xdr:to>
      <xdr:col>19</xdr:col>
      <xdr:colOff>147636</xdr:colOff>
      <xdr:row>53</xdr:row>
      <xdr:rowOff>114301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C56867AB-EF62-40C1-A07A-A40775AE63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Прямоугольник 4"/>
            <xdr:cNvSpPr>
              <a:spLocks noTextEdit="1"/>
            </xdr:cNvSpPr>
          </xdr:nvSpPr>
          <xdr:spPr>
            <a:xfrm>
              <a:off x="12220575" y="9220200"/>
              <a:ext cx="2090736" cy="2219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opLeftCell="A10" workbookViewId="0">
      <selection activeCell="R1" sqref="R1:Y28"/>
    </sheetView>
  </sheetViews>
  <sheetFormatPr defaultRowHeight="14.4" x14ac:dyDescent="0.3"/>
  <cols>
    <col min="8" max="8" width="13" customWidth="1"/>
    <col min="10" max="10" width="14.33203125" customWidth="1"/>
    <col min="12" max="12" width="14.109375" customWidth="1"/>
    <col min="13" max="13" width="16.33203125" customWidth="1"/>
    <col min="14" max="14" width="17.109375" customWidth="1"/>
    <col min="15" max="15" width="17.44140625" customWidth="1"/>
    <col min="16" max="16" width="22.88671875" customWidth="1"/>
    <col min="24" max="24" width="13" customWidth="1"/>
  </cols>
  <sheetData>
    <row r="1" spans="1:25" ht="54" thickBot="1" x14ac:dyDescent="0.35">
      <c r="A1" t="s">
        <v>88</v>
      </c>
      <c r="B1" t="s">
        <v>87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s="9" t="s">
        <v>42</v>
      </c>
      <c r="L1" s="9" t="s">
        <v>43</v>
      </c>
      <c r="M1" s="9" t="s">
        <v>44</v>
      </c>
      <c r="N1" s="9" t="s">
        <v>63</v>
      </c>
      <c r="O1" s="9" t="s">
        <v>64</v>
      </c>
      <c r="P1" s="9" t="s">
        <v>45</v>
      </c>
      <c r="Q1" s="9" t="s">
        <v>46</v>
      </c>
      <c r="R1" s="11" t="s">
        <v>51</v>
      </c>
      <c r="S1" s="11" t="s">
        <v>52</v>
      </c>
      <c r="T1" s="11" t="s">
        <v>53</v>
      </c>
      <c r="U1" s="11" t="s">
        <v>54</v>
      </c>
      <c r="V1" s="12" t="s">
        <v>55</v>
      </c>
      <c r="W1" s="12" t="s">
        <v>56</v>
      </c>
      <c r="X1" s="12" t="s">
        <v>57</v>
      </c>
      <c r="Y1" s="12" t="s">
        <v>58</v>
      </c>
    </row>
    <row r="2" spans="1:25" ht="15" thickBot="1" x14ac:dyDescent="0.35">
      <c r="A2" s="1">
        <v>1</v>
      </c>
      <c r="B2" s="2" t="s">
        <v>0</v>
      </c>
      <c r="C2" s="32">
        <v>2.0019800000000001</v>
      </c>
      <c r="D2" s="32">
        <v>1.23186</v>
      </c>
      <c r="E2" s="32">
        <v>1.5197700000000001</v>
      </c>
      <c r="F2" s="32">
        <v>1.3485400000000001</v>
      </c>
      <c r="G2">
        <f>LN(C2)</f>
        <v>0.69413669083313845</v>
      </c>
      <c r="H2">
        <f t="shared" ref="H2:J2" si="0">LN(D2)</f>
        <v>0.20852522229059089</v>
      </c>
      <c r="I2">
        <f t="shared" si="0"/>
        <v>0.4185590076193223</v>
      </c>
      <c r="J2">
        <f t="shared" si="0"/>
        <v>0.29902252574578259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8">
        <v>737</v>
      </c>
      <c r="S2" s="18">
        <v>384.5</v>
      </c>
      <c r="T2" s="18">
        <v>398</v>
      </c>
      <c r="U2" s="18">
        <v>0</v>
      </c>
      <c r="V2" s="19">
        <v>1</v>
      </c>
      <c r="W2" s="19">
        <v>1</v>
      </c>
      <c r="X2" s="19">
        <v>1</v>
      </c>
      <c r="Y2" s="19">
        <v>0</v>
      </c>
    </row>
    <row r="3" spans="1:25" ht="15" thickBot="1" x14ac:dyDescent="0.35">
      <c r="A3" s="1">
        <v>2</v>
      </c>
      <c r="B3" s="2" t="s">
        <v>1</v>
      </c>
      <c r="C3" s="32">
        <v>3.3862000000000001</v>
      </c>
      <c r="D3" s="32">
        <v>0.36234</v>
      </c>
      <c r="E3" s="35">
        <v>5.0707000000000004</v>
      </c>
      <c r="F3" s="32">
        <v>2.8941400000000002</v>
      </c>
      <c r="G3">
        <f t="shared" ref="G3:G29" si="1">LN(C3)</f>
        <v>1.2197083487119944</v>
      </c>
      <c r="H3">
        <f t="shared" ref="H3:H29" si="2">LN(D3)</f>
        <v>-1.0151722814342723</v>
      </c>
      <c r="I3">
        <f t="shared" ref="I3:I29" si="3">LN(E3)</f>
        <v>1.6234788751338565</v>
      </c>
      <c r="J3">
        <f t="shared" ref="J3:J29" si="4">LN(F3)</f>
        <v>1.0626880029894554</v>
      </c>
      <c r="K3" s="16">
        <v>1</v>
      </c>
      <c r="L3" s="16">
        <v>1</v>
      </c>
      <c r="M3" s="16">
        <v>0</v>
      </c>
      <c r="N3" s="16">
        <v>1</v>
      </c>
      <c r="O3" s="16">
        <v>199</v>
      </c>
      <c r="P3" s="16">
        <v>27.3</v>
      </c>
      <c r="Q3" s="16">
        <v>0</v>
      </c>
      <c r="R3" s="18">
        <v>1000</v>
      </c>
      <c r="S3" s="18">
        <v>679.5</v>
      </c>
      <c r="T3" s="18">
        <v>0</v>
      </c>
      <c r="U3" s="18">
        <v>1000</v>
      </c>
      <c r="V3" s="19">
        <v>1</v>
      </c>
      <c r="W3" s="19">
        <v>1</v>
      </c>
      <c r="X3" s="19">
        <v>0</v>
      </c>
      <c r="Y3" s="19">
        <v>1</v>
      </c>
    </row>
    <row r="4" spans="1:25" ht="15" thickBot="1" x14ac:dyDescent="0.35">
      <c r="A4" s="1">
        <v>3</v>
      </c>
      <c r="B4" s="2" t="s">
        <v>2</v>
      </c>
      <c r="C4" s="34">
        <v>2.2529699999999999</v>
      </c>
      <c r="D4" s="34">
        <v>1.64866</v>
      </c>
      <c r="E4" s="36">
        <v>12.988659999999999</v>
      </c>
      <c r="F4" s="34">
        <v>2.3694500000000001</v>
      </c>
      <c r="G4">
        <f t="shared" si="1"/>
        <v>0.81224934578222652</v>
      </c>
      <c r="H4">
        <f t="shared" si="2"/>
        <v>0.49996283675128528</v>
      </c>
      <c r="I4">
        <f t="shared" si="3"/>
        <v>2.564076669087477</v>
      </c>
      <c r="J4">
        <f t="shared" si="4"/>
        <v>0.86265786070465988</v>
      </c>
      <c r="K4" s="16">
        <v>10</v>
      </c>
      <c r="L4" s="16">
        <v>3</v>
      </c>
      <c r="M4" s="16">
        <v>2</v>
      </c>
      <c r="N4" s="16">
        <v>1</v>
      </c>
      <c r="O4" s="16">
        <v>137</v>
      </c>
      <c r="P4" s="16">
        <v>53.7</v>
      </c>
      <c r="Q4" s="16">
        <v>53.7</v>
      </c>
      <c r="R4" s="18">
        <v>0</v>
      </c>
      <c r="S4" s="18">
        <v>0</v>
      </c>
      <c r="T4" s="18">
        <v>0</v>
      </c>
      <c r="U4" s="18">
        <v>0</v>
      </c>
      <c r="V4" s="19">
        <v>0</v>
      </c>
      <c r="W4" s="19">
        <v>0</v>
      </c>
      <c r="X4" s="19">
        <v>0</v>
      </c>
      <c r="Y4" s="19">
        <v>0</v>
      </c>
    </row>
    <row r="5" spans="1:25" ht="15" thickBot="1" x14ac:dyDescent="0.35">
      <c r="A5" s="1">
        <v>4</v>
      </c>
      <c r="B5" s="2" t="s">
        <v>3</v>
      </c>
      <c r="C5" s="34">
        <v>1.8315999999999999</v>
      </c>
      <c r="D5" s="33">
        <v>2.2399999999999998E-3</v>
      </c>
      <c r="E5" s="36">
        <v>6.3125600000000004</v>
      </c>
      <c r="F5" s="34">
        <v>3.7730999999999999</v>
      </c>
      <c r="G5">
        <f t="shared" si="1"/>
        <v>0.60518990180080323</v>
      </c>
      <c r="H5">
        <f t="shared" si="2"/>
        <v>-6.1012794131151891</v>
      </c>
      <c r="I5">
        <f t="shared" si="3"/>
        <v>1.8425412995068016</v>
      </c>
      <c r="J5">
        <f t="shared" si="4"/>
        <v>1.3278969447390825</v>
      </c>
      <c r="K5" s="26">
        <v>12</v>
      </c>
      <c r="L5" s="26">
        <v>6</v>
      </c>
      <c r="M5" s="26">
        <v>3</v>
      </c>
      <c r="N5" s="26">
        <v>5</v>
      </c>
      <c r="O5" s="26">
        <v>126.5</v>
      </c>
      <c r="P5" s="16">
        <v>46.8</v>
      </c>
      <c r="Q5" s="16">
        <v>46.8</v>
      </c>
      <c r="R5" s="25">
        <v>466.5</v>
      </c>
      <c r="S5" s="25">
        <v>513.5</v>
      </c>
      <c r="T5" s="25">
        <v>965</v>
      </c>
      <c r="U5" s="25">
        <v>1000</v>
      </c>
      <c r="V5" s="20">
        <v>2</v>
      </c>
      <c r="W5" s="20">
        <v>2</v>
      </c>
      <c r="X5" s="20">
        <v>2</v>
      </c>
      <c r="Y5" s="20">
        <v>4</v>
      </c>
    </row>
    <row r="6" spans="1:25" ht="15" thickBot="1" x14ac:dyDescent="0.35">
      <c r="A6" s="1">
        <v>5</v>
      </c>
      <c r="B6" s="2" t="s">
        <v>4</v>
      </c>
      <c r="C6" s="34">
        <v>3.1483300000000001</v>
      </c>
      <c r="D6" s="34">
        <v>0.33760000000000001</v>
      </c>
      <c r="E6" s="34">
        <v>1.9146799999999999</v>
      </c>
      <c r="F6" s="34">
        <v>1.85568</v>
      </c>
      <c r="G6">
        <f t="shared" si="1"/>
        <v>1.1468721535235533</v>
      </c>
      <c r="H6">
        <f t="shared" si="2"/>
        <v>-1.0858935162603349</v>
      </c>
      <c r="I6">
        <f t="shared" si="3"/>
        <v>0.6495505068418671</v>
      </c>
      <c r="J6">
        <f t="shared" si="4"/>
        <v>0.61825120570593872</v>
      </c>
      <c r="K6" s="16">
        <v>7</v>
      </c>
      <c r="L6" s="16">
        <v>3</v>
      </c>
      <c r="M6" s="16">
        <v>1</v>
      </c>
      <c r="N6" s="26">
        <v>2</v>
      </c>
      <c r="O6" s="26">
        <v>70.5</v>
      </c>
      <c r="P6" s="16">
        <v>39.299999999999997</v>
      </c>
      <c r="Q6" s="16">
        <v>30.7</v>
      </c>
      <c r="R6" s="25">
        <v>272.5</v>
      </c>
      <c r="S6" s="25">
        <v>0</v>
      </c>
      <c r="T6" s="25">
        <v>0</v>
      </c>
      <c r="U6" s="25">
        <v>1000</v>
      </c>
      <c r="V6" s="20">
        <v>1</v>
      </c>
      <c r="W6" s="20">
        <v>0</v>
      </c>
      <c r="X6" s="20">
        <v>0</v>
      </c>
      <c r="Y6" s="20">
        <v>1</v>
      </c>
    </row>
    <row r="7" spans="1:25" ht="15" thickBot="1" x14ac:dyDescent="0.35">
      <c r="A7" s="1">
        <v>6</v>
      </c>
      <c r="B7" s="2" t="s">
        <v>5</v>
      </c>
      <c r="C7" s="34">
        <v>1.4931700000000001</v>
      </c>
      <c r="D7" s="33">
        <v>0.19622999999999999</v>
      </c>
      <c r="E7" s="34">
        <v>2.7388400000000002</v>
      </c>
      <c r="F7" s="34">
        <v>0.98140000000000005</v>
      </c>
      <c r="G7">
        <f t="shared" si="1"/>
        <v>0.40090137677690268</v>
      </c>
      <c r="H7">
        <f t="shared" si="2"/>
        <v>-1.6284678383409061</v>
      </c>
      <c r="I7">
        <f t="shared" si="3"/>
        <v>1.0075344730945883</v>
      </c>
      <c r="J7">
        <f t="shared" si="4"/>
        <v>-1.8775155326333979E-2</v>
      </c>
      <c r="K7" s="16">
        <v>1</v>
      </c>
      <c r="L7" s="16">
        <v>1</v>
      </c>
      <c r="M7" s="16">
        <v>0</v>
      </c>
      <c r="N7" s="16">
        <v>1</v>
      </c>
      <c r="O7" s="16">
        <v>121.5</v>
      </c>
      <c r="P7" s="16">
        <v>46.3</v>
      </c>
      <c r="Q7" s="16">
        <v>0</v>
      </c>
      <c r="R7" s="18">
        <v>0</v>
      </c>
      <c r="S7" s="18">
        <v>370</v>
      </c>
      <c r="T7" s="18">
        <v>0</v>
      </c>
      <c r="U7" s="25">
        <v>1000</v>
      </c>
      <c r="V7" s="19">
        <v>0</v>
      </c>
      <c r="W7" s="19">
        <v>1</v>
      </c>
      <c r="X7" s="19">
        <v>0</v>
      </c>
      <c r="Y7" s="19">
        <v>1</v>
      </c>
    </row>
    <row r="8" spans="1:25" ht="15" thickBot="1" x14ac:dyDescent="0.35">
      <c r="A8" s="1">
        <v>7</v>
      </c>
      <c r="B8" s="2" t="s">
        <v>6</v>
      </c>
      <c r="C8" s="34">
        <v>2.7982499999999999</v>
      </c>
      <c r="D8" s="33">
        <v>0.14757999999999999</v>
      </c>
      <c r="E8" s="36">
        <v>4.1744899999999996</v>
      </c>
      <c r="F8" s="34">
        <v>1.88836</v>
      </c>
      <c r="G8">
        <f t="shared" si="1"/>
        <v>1.0289942217872399</v>
      </c>
      <c r="H8">
        <f t="shared" si="2"/>
        <v>-1.9133848773519166</v>
      </c>
      <c r="I8">
        <f t="shared" si="3"/>
        <v>1.4289921951525821</v>
      </c>
      <c r="J8">
        <f t="shared" si="4"/>
        <v>0.63570872751267782</v>
      </c>
      <c r="K8" s="16">
        <v>10</v>
      </c>
      <c r="L8" s="16">
        <v>5</v>
      </c>
      <c r="M8" s="16">
        <v>3</v>
      </c>
      <c r="N8" s="16">
        <v>3</v>
      </c>
      <c r="O8" s="16">
        <v>182</v>
      </c>
      <c r="P8" s="16">
        <v>54</v>
      </c>
      <c r="Q8" s="16">
        <v>54</v>
      </c>
      <c r="R8" s="18">
        <v>0</v>
      </c>
      <c r="S8" s="18">
        <v>494.5</v>
      </c>
      <c r="T8" s="18">
        <v>0</v>
      </c>
      <c r="U8" s="25">
        <v>1000</v>
      </c>
      <c r="V8" s="19">
        <v>0</v>
      </c>
      <c r="W8" s="19">
        <v>1</v>
      </c>
      <c r="X8" s="19">
        <v>0</v>
      </c>
      <c r="Y8" s="19">
        <v>2</v>
      </c>
    </row>
    <row r="9" spans="1:25" ht="27.6" thickBot="1" x14ac:dyDescent="0.35">
      <c r="A9" s="1">
        <v>8</v>
      </c>
      <c r="B9" s="2" t="s">
        <v>7</v>
      </c>
      <c r="C9" s="34">
        <v>2.3146100000000001</v>
      </c>
      <c r="D9" s="34">
        <v>0.49775000000000003</v>
      </c>
      <c r="E9" s="36">
        <v>4.0315799999999999</v>
      </c>
      <c r="F9" s="34">
        <v>1.3102</v>
      </c>
      <c r="G9">
        <f t="shared" si="1"/>
        <v>0.83924120682344061</v>
      </c>
      <c r="H9">
        <f t="shared" si="2"/>
        <v>-0.69765733603783131</v>
      </c>
      <c r="I9">
        <f t="shared" si="3"/>
        <v>1.3941583586766768</v>
      </c>
      <c r="J9">
        <f t="shared" si="4"/>
        <v>0.27017979731563896</v>
      </c>
      <c r="K9" s="16">
        <v>10</v>
      </c>
      <c r="L9" s="16">
        <v>5</v>
      </c>
      <c r="M9" s="16">
        <v>2</v>
      </c>
      <c r="N9" s="16">
        <v>3</v>
      </c>
      <c r="O9" s="16">
        <v>210</v>
      </c>
      <c r="P9" s="16">
        <v>52</v>
      </c>
      <c r="Q9" s="16">
        <v>47.1</v>
      </c>
      <c r="R9" s="18">
        <v>500</v>
      </c>
      <c r="S9" s="18">
        <v>530</v>
      </c>
      <c r="T9" s="18">
        <v>0</v>
      </c>
      <c r="U9" s="25">
        <v>1000</v>
      </c>
      <c r="V9" s="19">
        <v>1</v>
      </c>
      <c r="W9" s="19">
        <v>1</v>
      </c>
      <c r="X9" s="19">
        <v>0</v>
      </c>
      <c r="Y9" s="19">
        <v>3</v>
      </c>
    </row>
    <row r="10" spans="1:25" ht="15" thickBot="1" x14ac:dyDescent="0.35">
      <c r="A10" s="1">
        <v>9</v>
      </c>
      <c r="B10" s="2" t="s">
        <v>8</v>
      </c>
      <c r="C10" s="36">
        <v>9.5468100000000007</v>
      </c>
      <c r="D10" s="33">
        <v>0.20838000000000001</v>
      </c>
      <c r="E10" s="36">
        <v>5.9021999999999997</v>
      </c>
      <c r="F10" s="36">
        <v>4.4451099999999997</v>
      </c>
      <c r="G10">
        <f t="shared" si="1"/>
        <v>2.2562070672781074</v>
      </c>
      <c r="H10">
        <f t="shared" si="2"/>
        <v>-1.5683919429980993</v>
      </c>
      <c r="I10">
        <f t="shared" si="3"/>
        <v>1.7753251627646303</v>
      </c>
      <c r="J10">
        <f t="shared" si="4"/>
        <v>1.4918046155663049</v>
      </c>
      <c r="K10" s="16">
        <v>9</v>
      </c>
      <c r="L10" s="16">
        <v>3</v>
      </c>
      <c r="M10" s="16">
        <v>3</v>
      </c>
      <c r="N10" s="16">
        <v>4</v>
      </c>
      <c r="O10" s="16">
        <v>103</v>
      </c>
      <c r="P10" s="16">
        <v>51.3</v>
      </c>
      <c r="Q10" s="16">
        <v>51.3</v>
      </c>
      <c r="R10" s="18">
        <v>0</v>
      </c>
      <c r="S10" s="18">
        <v>0</v>
      </c>
      <c r="T10" s="18">
        <v>0</v>
      </c>
      <c r="U10" s="18">
        <v>1000</v>
      </c>
      <c r="V10" s="19">
        <v>0</v>
      </c>
      <c r="W10" s="19">
        <v>0</v>
      </c>
      <c r="X10" s="19">
        <v>0</v>
      </c>
      <c r="Y10" s="19">
        <v>2</v>
      </c>
    </row>
    <row r="11" spans="1:25" ht="27.6" thickBot="1" x14ac:dyDescent="0.35">
      <c r="A11" s="1">
        <v>10</v>
      </c>
      <c r="B11" s="2" t="s">
        <v>9</v>
      </c>
      <c r="C11" s="34">
        <v>1.4367300000000001</v>
      </c>
      <c r="D11" s="33">
        <v>0.12197</v>
      </c>
      <c r="E11" s="36">
        <v>4.0225600000000004</v>
      </c>
      <c r="F11" s="34">
        <v>1.47112</v>
      </c>
      <c r="G11">
        <f t="shared" si="1"/>
        <v>0.36236969800257879</v>
      </c>
      <c r="H11">
        <f t="shared" si="2"/>
        <v>-2.1039801661269903</v>
      </c>
      <c r="I11">
        <f t="shared" si="3"/>
        <v>1.3919185158701122</v>
      </c>
      <c r="J11">
        <f t="shared" si="4"/>
        <v>0.38602401545046067</v>
      </c>
      <c r="K11" s="16">
        <v>3</v>
      </c>
      <c r="L11" s="16">
        <v>2</v>
      </c>
      <c r="M11" s="16">
        <v>0</v>
      </c>
      <c r="N11" s="16">
        <v>0</v>
      </c>
      <c r="O11" s="16">
        <v>0</v>
      </c>
      <c r="P11" s="16">
        <v>46.3</v>
      </c>
      <c r="Q11" s="16">
        <v>0</v>
      </c>
      <c r="R11" s="18">
        <v>0</v>
      </c>
      <c r="S11" s="18">
        <v>0</v>
      </c>
      <c r="T11" s="18">
        <v>0</v>
      </c>
      <c r="U11" s="18">
        <v>0</v>
      </c>
      <c r="V11" s="19">
        <v>0</v>
      </c>
      <c r="W11" s="19">
        <v>0</v>
      </c>
      <c r="X11" s="19">
        <v>0</v>
      </c>
      <c r="Y11" s="19">
        <v>0</v>
      </c>
    </row>
    <row r="12" spans="1:25" ht="15" thickBot="1" x14ac:dyDescent="0.35">
      <c r="A12" s="1">
        <v>11</v>
      </c>
      <c r="B12" s="2" t="s">
        <v>10</v>
      </c>
      <c r="C12" s="34">
        <v>3.1192000000000002</v>
      </c>
      <c r="D12" s="34">
        <v>0.94359999999999999</v>
      </c>
      <c r="E12" s="36">
        <v>4.4628100000000002</v>
      </c>
      <c r="F12" s="34">
        <v>1.9137299999999999</v>
      </c>
      <c r="G12">
        <f t="shared" si="1"/>
        <v>1.1375765586862505</v>
      </c>
      <c r="H12">
        <f t="shared" si="2"/>
        <v>-5.8052931448617097E-2</v>
      </c>
      <c r="I12">
        <f t="shared" si="3"/>
        <v>1.4957786124800974</v>
      </c>
      <c r="J12">
        <f t="shared" si="4"/>
        <v>0.64905421724932133</v>
      </c>
      <c r="K12" s="16">
        <v>20</v>
      </c>
      <c r="L12" s="16">
        <v>10</v>
      </c>
      <c r="M12" s="16">
        <v>2</v>
      </c>
      <c r="N12" s="16">
        <v>5</v>
      </c>
      <c r="O12" s="16">
        <v>201</v>
      </c>
      <c r="P12" s="16">
        <v>53.1</v>
      </c>
      <c r="Q12" s="16">
        <v>53.1</v>
      </c>
      <c r="R12" s="18">
        <v>0</v>
      </c>
      <c r="S12" s="18">
        <v>0</v>
      </c>
      <c r="T12" s="18">
        <v>1000</v>
      </c>
      <c r="U12" s="18">
        <v>1000</v>
      </c>
      <c r="V12" s="19">
        <v>0</v>
      </c>
      <c r="W12" s="19">
        <v>0</v>
      </c>
      <c r="X12" s="19">
        <v>1</v>
      </c>
      <c r="Y12" s="19">
        <v>5</v>
      </c>
    </row>
    <row r="13" spans="1:25" ht="15" thickBot="1" x14ac:dyDescent="0.35">
      <c r="A13" s="1">
        <v>12</v>
      </c>
      <c r="B13" s="2" t="s">
        <v>11</v>
      </c>
      <c r="C13" s="36">
        <v>4.0005600000000001</v>
      </c>
      <c r="D13" s="34">
        <v>0.34695999999999999</v>
      </c>
      <c r="E13" s="36">
        <v>5.4805099999999998</v>
      </c>
      <c r="F13" s="34">
        <v>2.74871</v>
      </c>
      <c r="G13">
        <f t="shared" si="1"/>
        <v>1.3864343513208053</v>
      </c>
      <c r="H13">
        <f t="shared" si="2"/>
        <v>-1.0585457794550264</v>
      </c>
      <c r="I13">
        <f t="shared" si="3"/>
        <v>1.7011981623230119</v>
      </c>
      <c r="J13">
        <f t="shared" si="4"/>
        <v>1.0111317107118292</v>
      </c>
      <c r="K13" s="16">
        <v>7</v>
      </c>
      <c r="L13" s="16">
        <v>3</v>
      </c>
      <c r="M13" s="16">
        <v>3</v>
      </c>
      <c r="N13" s="16">
        <v>1</v>
      </c>
      <c r="O13" s="16">
        <v>150</v>
      </c>
      <c r="P13" s="16">
        <v>54.4</v>
      </c>
      <c r="Q13" s="16">
        <v>0</v>
      </c>
      <c r="R13" s="18">
        <v>1000</v>
      </c>
      <c r="S13" s="18">
        <v>601</v>
      </c>
      <c r="T13" s="18">
        <v>0</v>
      </c>
      <c r="U13" s="18">
        <v>1000</v>
      </c>
      <c r="V13" s="19">
        <v>1</v>
      </c>
      <c r="W13" s="19">
        <v>2</v>
      </c>
      <c r="X13" s="19">
        <v>0</v>
      </c>
      <c r="Y13" s="19">
        <v>1</v>
      </c>
    </row>
    <row r="14" spans="1:25" ht="15" thickBot="1" x14ac:dyDescent="0.35">
      <c r="A14" s="1">
        <v>13</v>
      </c>
      <c r="B14" s="2" t="s">
        <v>12</v>
      </c>
      <c r="C14" s="34">
        <v>2.6935699999999998</v>
      </c>
      <c r="D14" s="34">
        <v>0.52493000000000001</v>
      </c>
      <c r="E14" s="36">
        <v>5.5645699999999998</v>
      </c>
      <c r="F14" s="34">
        <v>1.5619499999999999</v>
      </c>
      <c r="G14">
        <f t="shared" si="1"/>
        <v>0.9908674512915675</v>
      </c>
      <c r="H14">
        <f t="shared" si="2"/>
        <v>-0.64449035861352577</v>
      </c>
      <c r="I14">
        <f t="shared" si="3"/>
        <v>1.7164197130988263</v>
      </c>
      <c r="J14">
        <f t="shared" si="4"/>
        <v>0.44593504066187756</v>
      </c>
      <c r="K14" s="16">
        <v>5</v>
      </c>
      <c r="L14" s="16">
        <v>4</v>
      </c>
      <c r="M14" s="16">
        <v>1</v>
      </c>
      <c r="N14" s="16">
        <v>1</v>
      </c>
      <c r="O14" s="16">
        <v>155</v>
      </c>
      <c r="P14" s="16">
        <v>57.5</v>
      </c>
      <c r="Q14" s="16">
        <v>52.8</v>
      </c>
      <c r="R14" s="18">
        <v>1000</v>
      </c>
      <c r="S14" s="18">
        <v>685</v>
      </c>
      <c r="T14" s="18">
        <v>882</v>
      </c>
      <c r="U14" s="18">
        <v>1000</v>
      </c>
      <c r="V14" s="19">
        <v>2</v>
      </c>
      <c r="W14" s="19">
        <v>2</v>
      </c>
      <c r="X14" s="19">
        <v>1</v>
      </c>
      <c r="Y14" s="19">
        <v>3</v>
      </c>
    </row>
    <row r="15" spans="1:25" ht="15" thickBot="1" x14ac:dyDescent="0.35">
      <c r="A15" s="1">
        <v>14</v>
      </c>
      <c r="B15" s="2" t="s">
        <v>13</v>
      </c>
      <c r="C15" s="34">
        <v>3.7563</v>
      </c>
      <c r="D15" s="34">
        <v>0.32995000000000002</v>
      </c>
      <c r="E15" s="36">
        <v>4.0699100000000001</v>
      </c>
      <c r="F15" s="34">
        <v>2.5808399999999998</v>
      </c>
      <c r="G15">
        <f t="shared" si="1"/>
        <v>1.3234344303608747</v>
      </c>
      <c r="H15">
        <f t="shared" si="2"/>
        <v>-1.1088141511527063</v>
      </c>
      <c r="I15">
        <f t="shared" si="3"/>
        <v>1.403620886187894</v>
      </c>
      <c r="J15">
        <f t="shared" si="4"/>
        <v>0.94811492733875369</v>
      </c>
      <c r="K15" s="16">
        <v>8</v>
      </c>
      <c r="L15" s="16">
        <v>1</v>
      </c>
      <c r="M15" s="16">
        <v>0</v>
      </c>
      <c r="N15" s="16">
        <v>1</v>
      </c>
      <c r="O15" s="16">
        <v>97</v>
      </c>
      <c r="P15" s="16">
        <v>38.700000000000003</v>
      </c>
      <c r="Q15" s="16">
        <v>0</v>
      </c>
      <c r="R15" s="18">
        <v>500</v>
      </c>
      <c r="S15" s="18">
        <v>408.5</v>
      </c>
      <c r="T15" s="18">
        <v>470</v>
      </c>
      <c r="U15" s="18">
        <v>1000</v>
      </c>
      <c r="V15" s="19">
        <v>1</v>
      </c>
      <c r="W15" s="19">
        <v>1</v>
      </c>
      <c r="X15" s="19">
        <v>1</v>
      </c>
      <c r="Y15" s="19">
        <v>2</v>
      </c>
    </row>
    <row r="16" spans="1:25" ht="15" thickBot="1" x14ac:dyDescent="0.35">
      <c r="A16" s="1">
        <v>15</v>
      </c>
      <c r="B16" s="2" t="s">
        <v>14</v>
      </c>
      <c r="C16" s="36">
        <v>4.7567700000000004</v>
      </c>
      <c r="D16" s="34">
        <v>0.58294000000000001</v>
      </c>
      <c r="E16" s="34">
        <v>2.85941</v>
      </c>
      <c r="F16" s="34">
        <v>1.9256500000000001</v>
      </c>
      <c r="G16">
        <f t="shared" si="1"/>
        <v>1.5595688664809608</v>
      </c>
      <c r="H16">
        <f t="shared" si="2"/>
        <v>-0.53967101387982719</v>
      </c>
      <c r="I16">
        <f t="shared" si="3"/>
        <v>1.0506153098439941</v>
      </c>
      <c r="J16">
        <f t="shared" si="4"/>
        <v>0.65526357308231253</v>
      </c>
      <c r="K16" s="16">
        <v>14</v>
      </c>
      <c r="L16" s="16">
        <v>11</v>
      </c>
      <c r="M16" s="16">
        <v>3</v>
      </c>
      <c r="N16" s="16">
        <v>5</v>
      </c>
      <c r="O16" s="16">
        <v>227.5</v>
      </c>
      <c r="P16" s="16">
        <v>47.8</v>
      </c>
      <c r="Q16" s="16">
        <v>47.8</v>
      </c>
      <c r="R16" s="18">
        <v>0</v>
      </c>
      <c r="S16" s="18">
        <v>937.5</v>
      </c>
      <c r="T16" s="18">
        <v>909</v>
      </c>
      <c r="U16" s="18">
        <v>1000</v>
      </c>
      <c r="V16" s="19">
        <v>0</v>
      </c>
      <c r="W16" s="19">
        <v>2</v>
      </c>
      <c r="X16" s="19">
        <v>1</v>
      </c>
      <c r="Y16" s="19">
        <v>5</v>
      </c>
    </row>
    <row r="17" spans="1:32" ht="15" thickBot="1" x14ac:dyDescent="0.35">
      <c r="A17" s="1">
        <v>16</v>
      </c>
      <c r="B17" s="2" t="s">
        <v>15</v>
      </c>
      <c r="C17" s="34">
        <v>1.6127899999999999</v>
      </c>
      <c r="D17" s="33">
        <v>0.24521000000000001</v>
      </c>
      <c r="E17" s="36">
        <v>14.573029999999999</v>
      </c>
      <c r="F17" s="34">
        <v>1.68207</v>
      </c>
      <c r="G17">
        <f t="shared" si="1"/>
        <v>0.47796559847886444</v>
      </c>
      <c r="H17">
        <f t="shared" si="2"/>
        <v>-1.4056402927174283</v>
      </c>
      <c r="I17">
        <f t="shared" si="3"/>
        <v>2.6791725601509642</v>
      </c>
      <c r="J17">
        <f t="shared" si="4"/>
        <v>0.5200251778072611</v>
      </c>
      <c r="K17" s="16">
        <v>12</v>
      </c>
      <c r="L17" s="16">
        <v>1</v>
      </c>
      <c r="M17" s="16">
        <v>0</v>
      </c>
      <c r="N17" s="16">
        <v>4</v>
      </c>
      <c r="O17" s="16">
        <v>115.5</v>
      </c>
      <c r="P17" s="16">
        <v>48.5</v>
      </c>
      <c r="Q17" s="16">
        <v>0</v>
      </c>
      <c r="R17" s="18">
        <v>305</v>
      </c>
      <c r="S17" s="18">
        <v>1000</v>
      </c>
      <c r="T17" s="18">
        <v>577</v>
      </c>
      <c r="U17" s="18">
        <v>1000</v>
      </c>
      <c r="V17" s="19">
        <v>1</v>
      </c>
      <c r="W17" s="19">
        <v>1</v>
      </c>
      <c r="X17" s="19">
        <v>1</v>
      </c>
      <c r="Y17" s="19">
        <v>1</v>
      </c>
    </row>
    <row r="18" spans="1:32" ht="15" thickBot="1" x14ac:dyDescent="0.35">
      <c r="A18" s="1">
        <v>17</v>
      </c>
      <c r="B18" s="2" t="s">
        <v>16</v>
      </c>
      <c r="C18" s="34">
        <v>2.9031899999999999</v>
      </c>
      <c r="D18" s="34">
        <v>0.78339000000000003</v>
      </c>
      <c r="E18" s="36">
        <v>7.0369000000000002</v>
      </c>
      <c r="F18" s="34">
        <v>1.0151399999999999</v>
      </c>
      <c r="G18">
        <f t="shared" si="1"/>
        <v>1.0658101324357292</v>
      </c>
      <c r="H18">
        <f t="shared" si="2"/>
        <v>-0.24412462270295254</v>
      </c>
      <c r="I18">
        <f t="shared" si="3"/>
        <v>1.951167732282332</v>
      </c>
      <c r="J18">
        <f t="shared" si="4"/>
        <v>1.5026534016622829E-2</v>
      </c>
      <c r="K18" s="16">
        <v>6</v>
      </c>
      <c r="L18" s="16">
        <v>2</v>
      </c>
      <c r="M18" s="16">
        <v>0</v>
      </c>
      <c r="N18" s="16">
        <v>1</v>
      </c>
      <c r="O18" s="16">
        <v>167</v>
      </c>
      <c r="P18" s="16">
        <v>49.3</v>
      </c>
      <c r="Q18" s="16">
        <v>0</v>
      </c>
      <c r="R18" s="18">
        <v>1000</v>
      </c>
      <c r="S18" s="18">
        <v>685</v>
      </c>
      <c r="T18" s="18">
        <v>1000</v>
      </c>
      <c r="U18" s="18">
        <v>1000</v>
      </c>
      <c r="V18" s="19">
        <v>1</v>
      </c>
      <c r="W18" s="19">
        <v>1</v>
      </c>
      <c r="X18" s="19">
        <v>1</v>
      </c>
      <c r="Y18" s="19">
        <v>2</v>
      </c>
    </row>
    <row r="19" spans="1:32" ht="15" thickBot="1" x14ac:dyDescent="0.35">
      <c r="A19" s="1">
        <v>18</v>
      </c>
      <c r="B19" s="2" t="s">
        <v>17</v>
      </c>
      <c r="C19" s="34">
        <v>1.57283</v>
      </c>
      <c r="D19" s="34">
        <v>0.35498000000000002</v>
      </c>
      <c r="E19" s="34">
        <v>2.9134099999999998</v>
      </c>
      <c r="F19" s="34">
        <v>0.78683999999999998</v>
      </c>
      <c r="G19">
        <f t="shared" si="1"/>
        <v>0.45287654449131542</v>
      </c>
      <c r="H19">
        <f t="shared" si="2"/>
        <v>-1.0356938291219366</v>
      </c>
      <c r="I19">
        <f t="shared" si="3"/>
        <v>1.0693242164425538</v>
      </c>
      <c r="J19">
        <f t="shared" si="4"/>
        <v>-0.23973035491860872</v>
      </c>
      <c r="K19" s="16">
        <v>1</v>
      </c>
      <c r="L19" s="16">
        <v>4</v>
      </c>
      <c r="M19" s="16">
        <v>3</v>
      </c>
      <c r="N19" s="16">
        <v>1</v>
      </c>
      <c r="O19" s="16">
        <v>163</v>
      </c>
      <c r="P19" s="16">
        <v>53.8</v>
      </c>
      <c r="Q19" s="16">
        <v>53.8</v>
      </c>
      <c r="R19" s="18">
        <v>1000</v>
      </c>
      <c r="S19" s="18">
        <v>709.5</v>
      </c>
      <c r="T19" s="18">
        <v>0</v>
      </c>
      <c r="U19" s="18">
        <v>1000</v>
      </c>
      <c r="V19" s="19">
        <v>2</v>
      </c>
      <c r="W19" s="19">
        <v>1</v>
      </c>
      <c r="X19" s="19">
        <v>0</v>
      </c>
      <c r="Y19" s="19">
        <v>3</v>
      </c>
    </row>
    <row r="20" spans="1:32" ht="15" thickBot="1" x14ac:dyDescent="0.35">
      <c r="A20" s="1">
        <v>19</v>
      </c>
      <c r="B20" s="2" t="s">
        <v>18</v>
      </c>
      <c r="C20" s="34">
        <v>3.5689600000000001</v>
      </c>
      <c r="D20" s="34">
        <v>0.4556</v>
      </c>
      <c r="E20" s="34">
        <v>2.36504</v>
      </c>
      <c r="F20" s="34">
        <v>3.8422200000000002</v>
      </c>
      <c r="G20">
        <f t="shared" si="1"/>
        <v>1.2722742368240352</v>
      </c>
      <c r="H20">
        <f t="shared" si="2"/>
        <v>-0.78614004740910992</v>
      </c>
      <c r="I20">
        <f t="shared" si="3"/>
        <v>0.86079493512010663</v>
      </c>
      <c r="J20">
        <f t="shared" si="4"/>
        <v>1.3460503245497584</v>
      </c>
      <c r="K20" s="16">
        <v>4</v>
      </c>
      <c r="L20" s="16">
        <v>1</v>
      </c>
      <c r="M20" s="16">
        <v>1</v>
      </c>
      <c r="N20" s="16">
        <v>1</v>
      </c>
      <c r="O20" s="16">
        <v>141.5</v>
      </c>
      <c r="P20" s="16">
        <v>40.799999999999997</v>
      </c>
      <c r="Q20" s="16">
        <v>40.799999999999997</v>
      </c>
      <c r="R20" s="18">
        <v>1000</v>
      </c>
      <c r="S20" s="18">
        <v>859.5</v>
      </c>
      <c r="T20" s="18">
        <v>0</v>
      </c>
      <c r="U20" s="18">
        <v>1000</v>
      </c>
      <c r="V20" s="19">
        <v>1</v>
      </c>
      <c r="W20" s="19">
        <v>1</v>
      </c>
      <c r="X20" s="19">
        <v>0</v>
      </c>
      <c r="Y20" s="19">
        <v>1</v>
      </c>
    </row>
    <row r="21" spans="1:32" ht="15" thickBot="1" x14ac:dyDescent="0.35">
      <c r="A21" s="6">
        <v>20</v>
      </c>
      <c r="B21" s="7" t="s">
        <v>19</v>
      </c>
      <c r="C21" s="34">
        <v>3.93025</v>
      </c>
      <c r="D21" s="33">
        <v>0.18339</v>
      </c>
      <c r="E21" s="36">
        <v>4.7583000000000002</v>
      </c>
      <c r="F21" s="34">
        <v>2.7752699999999999</v>
      </c>
      <c r="G21">
        <f t="shared" si="1"/>
        <v>1.3687030370894862</v>
      </c>
      <c r="H21">
        <f t="shared" si="2"/>
        <v>-1.6961402462733934</v>
      </c>
      <c r="I21">
        <f t="shared" si="3"/>
        <v>1.5598904615954869</v>
      </c>
      <c r="J21">
        <f t="shared" si="4"/>
        <v>1.0207480397626201</v>
      </c>
      <c r="K21" s="16">
        <v>1</v>
      </c>
      <c r="L21" s="16">
        <v>3</v>
      </c>
      <c r="M21" s="16">
        <v>3</v>
      </c>
      <c r="N21" s="16">
        <v>1</v>
      </c>
      <c r="O21" s="16">
        <v>217</v>
      </c>
      <c r="P21" s="16">
        <v>37.6</v>
      </c>
      <c r="Q21" s="16">
        <v>37.6</v>
      </c>
      <c r="R21" s="26">
        <v>912</v>
      </c>
      <c r="S21" s="26">
        <v>370</v>
      </c>
      <c r="T21">
        <v>0</v>
      </c>
      <c r="U21">
        <v>1000</v>
      </c>
      <c r="X21">
        <v>0</v>
      </c>
      <c r="Y21">
        <v>2</v>
      </c>
    </row>
    <row r="22" spans="1:32" ht="15" thickBot="1" x14ac:dyDescent="0.35">
      <c r="A22" s="6">
        <v>21</v>
      </c>
      <c r="B22" s="7" t="s">
        <v>20</v>
      </c>
      <c r="C22" s="34">
        <v>2.6078299999999999</v>
      </c>
      <c r="D22" s="34">
        <v>0.3054</v>
      </c>
      <c r="E22" s="36">
        <v>5.0799899999999996</v>
      </c>
      <c r="F22" s="34">
        <v>1.4738899999999999</v>
      </c>
      <c r="G22">
        <f t="shared" si="1"/>
        <v>0.95851845789075429</v>
      </c>
      <c r="H22">
        <f t="shared" si="2"/>
        <v>-1.186132886197605</v>
      </c>
      <c r="I22">
        <f t="shared" si="3"/>
        <v>1.6253092930845159</v>
      </c>
      <c r="J22">
        <f t="shared" si="4"/>
        <v>0.38790516411675008</v>
      </c>
      <c r="K22" s="16">
        <v>9</v>
      </c>
      <c r="L22" s="16">
        <v>2</v>
      </c>
      <c r="M22" s="16">
        <v>1</v>
      </c>
      <c r="N22" s="16">
        <v>1</v>
      </c>
      <c r="O22" s="16">
        <v>181.5</v>
      </c>
      <c r="P22" s="16">
        <v>35.4</v>
      </c>
      <c r="Q22" s="16">
        <v>33.799999999999997</v>
      </c>
      <c r="R22">
        <v>1000</v>
      </c>
      <c r="S22">
        <v>185</v>
      </c>
      <c r="T22">
        <v>1000</v>
      </c>
      <c r="U22">
        <v>1000</v>
      </c>
      <c r="V22">
        <v>1</v>
      </c>
      <c r="W22">
        <v>1</v>
      </c>
      <c r="X22">
        <v>1</v>
      </c>
      <c r="Y22">
        <v>2</v>
      </c>
    </row>
    <row r="23" spans="1:32" ht="15" thickBot="1" x14ac:dyDescent="0.35">
      <c r="A23" s="6">
        <v>23</v>
      </c>
      <c r="B23" s="7" t="s">
        <v>21</v>
      </c>
      <c r="C23" s="34">
        <v>3.0305900000000001</v>
      </c>
      <c r="D23" s="34">
        <v>0.38427</v>
      </c>
      <c r="E23" s="36">
        <v>4.2332099999999997</v>
      </c>
      <c r="F23" s="34">
        <v>2.1541100000000002</v>
      </c>
      <c r="G23">
        <f t="shared" si="1"/>
        <v>1.1087573200378493</v>
      </c>
      <c r="H23">
        <f t="shared" si="2"/>
        <v>-0.95640984847098265</v>
      </c>
      <c r="I23">
        <f t="shared" si="3"/>
        <v>1.4429605705137689</v>
      </c>
      <c r="J23">
        <f t="shared" si="4"/>
        <v>0.76737764521115492</v>
      </c>
      <c r="K23" s="16">
        <v>4</v>
      </c>
      <c r="L23" s="16">
        <v>1</v>
      </c>
      <c r="M23" s="16">
        <v>0</v>
      </c>
      <c r="N23" s="16">
        <v>1</v>
      </c>
      <c r="O23" s="16">
        <v>208.5</v>
      </c>
      <c r="P23" s="16">
        <v>46.5</v>
      </c>
      <c r="Q23" s="16">
        <v>0</v>
      </c>
      <c r="R23" s="26">
        <v>0</v>
      </c>
      <c r="S23" s="26">
        <v>909</v>
      </c>
      <c r="T23" s="26">
        <v>0</v>
      </c>
      <c r="U23">
        <v>994</v>
      </c>
      <c r="V23" s="26">
        <v>0</v>
      </c>
      <c r="W23" s="26">
        <v>1</v>
      </c>
      <c r="X23" s="26">
        <v>0</v>
      </c>
      <c r="Y23">
        <v>1</v>
      </c>
    </row>
    <row r="24" spans="1:32" ht="15" thickBot="1" x14ac:dyDescent="0.35">
      <c r="A24" s="6">
        <v>24</v>
      </c>
      <c r="B24" s="7" t="s">
        <v>22</v>
      </c>
      <c r="C24" s="34">
        <v>3.2742399999999998</v>
      </c>
      <c r="D24" s="34">
        <v>0.75958000000000003</v>
      </c>
      <c r="E24" s="36">
        <v>4.7429500000000004</v>
      </c>
      <c r="F24" s="34">
        <v>2.3107199999999999</v>
      </c>
      <c r="G24">
        <f t="shared" si="1"/>
        <v>1.1860857810881766</v>
      </c>
      <c r="H24">
        <f t="shared" si="2"/>
        <v>-0.27498963003782018</v>
      </c>
      <c r="I24">
        <f t="shared" si="3"/>
        <v>1.5566593049887301</v>
      </c>
      <c r="J24">
        <f t="shared" si="4"/>
        <v>0.83755916428067967</v>
      </c>
      <c r="K24">
        <v>1</v>
      </c>
      <c r="L24">
        <v>1</v>
      </c>
      <c r="M24">
        <v>1</v>
      </c>
      <c r="N24">
        <v>1</v>
      </c>
      <c r="O24">
        <v>181</v>
      </c>
      <c r="P24">
        <v>40.299999999999997</v>
      </c>
      <c r="Q24">
        <v>40.299999999999997</v>
      </c>
      <c r="R24">
        <v>1000</v>
      </c>
      <c r="S24">
        <v>611</v>
      </c>
      <c r="T24">
        <v>674</v>
      </c>
      <c r="U24">
        <v>1000</v>
      </c>
      <c r="V24">
        <v>1</v>
      </c>
      <c r="W24">
        <v>1</v>
      </c>
      <c r="X24">
        <v>2</v>
      </c>
      <c r="Y24">
        <v>1</v>
      </c>
    </row>
    <row r="25" spans="1:32" ht="27.6" thickBot="1" x14ac:dyDescent="0.35">
      <c r="A25" s="6">
        <v>25</v>
      </c>
      <c r="B25" s="7" t="s">
        <v>23</v>
      </c>
      <c r="C25" s="34">
        <v>1.9915099999999999</v>
      </c>
      <c r="D25" s="33">
        <v>3.823E-2</v>
      </c>
      <c r="E25" s="34">
        <v>2.1831700000000001</v>
      </c>
      <c r="F25" s="34">
        <v>1.0079499999999999</v>
      </c>
      <c r="G25">
        <f t="shared" si="1"/>
        <v>0.68889314496765286</v>
      </c>
      <c r="H25">
        <f t="shared" si="2"/>
        <v>-3.2641347312738156</v>
      </c>
      <c r="I25">
        <f t="shared" si="3"/>
        <v>0.78077794902040076</v>
      </c>
      <c r="J25">
        <f t="shared" si="4"/>
        <v>7.9185652442954526E-3</v>
      </c>
      <c r="K25">
        <v>4</v>
      </c>
      <c r="L25">
        <v>1</v>
      </c>
      <c r="M25">
        <v>0</v>
      </c>
      <c r="N25">
        <v>1</v>
      </c>
      <c r="O25">
        <v>76.5</v>
      </c>
      <c r="P25">
        <v>46.5</v>
      </c>
      <c r="Q25">
        <v>0</v>
      </c>
      <c r="R25">
        <v>1000</v>
      </c>
      <c r="S25">
        <v>685</v>
      </c>
      <c r="T25">
        <v>942</v>
      </c>
      <c r="U25">
        <v>1000</v>
      </c>
      <c r="V25">
        <v>1</v>
      </c>
      <c r="W25">
        <v>1</v>
      </c>
      <c r="X25">
        <v>1</v>
      </c>
      <c r="Y25">
        <v>1</v>
      </c>
    </row>
    <row r="26" spans="1:32" ht="15" thickBot="1" x14ac:dyDescent="0.35">
      <c r="A26" s="6">
        <v>26</v>
      </c>
      <c r="B26" s="7" t="s">
        <v>24</v>
      </c>
      <c r="C26" s="34">
        <v>2.0438900000000002</v>
      </c>
      <c r="D26" s="34">
        <v>0.38094</v>
      </c>
      <c r="E26" s="34">
        <v>2.70025</v>
      </c>
      <c r="F26" s="34">
        <v>0.63785000000000003</v>
      </c>
      <c r="G26">
        <f t="shared" si="1"/>
        <v>0.71485485484635591</v>
      </c>
      <c r="H26">
        <f t="shared" si="2"/>
        <v>-0.96511339657172346</v>
      </c>
      <c r="I26">
        <f t="shared" si="3"/>
        <v>0.99334436131644643</v>
      </c>
      <c r="J26">
        <f t="shared" si="4"/>
        <v>-0.44965213299783796</v>
      </c>
      <c r="K26">
        <v>6</v>
      </c>
      <c r="L26">
        <v>2</v>
      </c>
      <c r="M26">
        <v>0</v>
      </c>
      <c r="N26">
        <v>1</v>
      </c>
      <c r="O26">
        <v>216.5</v>
      </c>
      <c r="P26">
        <v>45.5</v>
      </c>
      <c r="Q26">
        <v>0</v>
      </c>
      <c r="R26">
        <v>674.5</v>
      </c>
      <c r="S26">
        <v>389</v>
      </c>
      <c r="T26">
        <v>776</v>
      </c>
      <c r="U26">
        <v>1000</v>
      </c>
      <c r="V26">
        <v>2</v>
      </c>
      <c r="W26">
        <v>1</v>
      </c>
      <c r="X26">
        <v>1</v>
      </c>
      <c r="Y26">
        <v>3</v>
      </c>
    </row>
    <row r="27" spans="1:32" ht="15" thickBot="1" x14ac:dyDescent="0.35">
      <c r="A27" s="6">
        <v>27</v>
      </c>
      <c r="B27" s="7" t="s">
        <v>25</v>
      </c>
      <c r="C27" s="34">
        <v>3.9391099999999999</v>
      </c>
      <c r="D27" s="33">
        <v>9.3900000000000008E-3</v>
      </c>
      <c r="E27" s="34">
        <v>1.7429300000000001</v>
      </c>
      <c r="F27" s="34">
        <v>1.22255</v>
      </c>
      <c r="G27">
        <f t="shared" si="1"/>
        <v>1.370954809468359</v>
      </c>
      <c r="H27">
        <f t="shared" si="2"/>
        <v>-4.6681099857619657</v>
      </c>
      <c r="I27">
        <f t="shared" si="3"/>
        <v>0.55556760508885339</v>
      </c>
      <c r="J27">
        <f t="shared" si="4"/>
        <v>0.20093884132601725</v>
      </c>
      <c r="K27">
        <v>2</v>
      </c>
      <c r="L27">
        <v>1</v>
      </c>
      <c r="M27">
        <v>1</v>
      </c>
      <c r="N27">
        <v>1</v>
      </c>
      <c r="O27">
        <v>84</v>
      </c>
      <c r="P27">
        <v>38.200000000000003</v>
      </c>
      <c r="Q27">
        <v>38.200000000000003</v>
      </c>
      <c r="R27">
        <v>0</v>
      </c>
      <c r="S27">
        <v>609</v>
      </c>
      <c r="T27">
        <v>0</v>
      </c>
      <c r="U27">
        <v>1000</v>
      </c>
      <c r="V27">
        <v>0</v>
      </c>
      <c r="W27">
        <v>1</v>
      </c>
      <c r="X27">
        <v>0</v>
      </c>
      <c r="Y27">
        <v>1</v>
      </c>
    </row>
    <row r="28" spans="1:32" ht="15" thickBot="1" x14ac:dyDescent="0.35">
      <c r="A28" s="6">
        <v>28</v>
      </c>
      <c r="B28" s="7" t="s">
        <v>26</v>
      </c>
      <c r="C28" s="36">
        <v>12.288819999999999</v>
      </c>
      <c r="D28" s="33">
        <v>0.22928999999999999</v>
      </c>
      <c r="E28" s="34">
        <v>1.2575799999999999</v>
      </c>
      <c r="F28" s="34">
        <v>1.05006</v>
      </c>
      <c r="G28">
        <f t="shared" si="1"/>
        <v>2.5086899059496841</v>
      </c>
      <c r="H28">
        <f t="shared" si="2"/>
        <v>-1.4727677010592346</v>
      </c>
      <c r="I28">
        <f t="shared" si="3"/>
        <v>0.22918923925845799</v>
      </c>
      <c r="J28">
        <f t="shared" si="4"/>
        <v>4.8847305393983985E-2</v>
      </c>
      <c r="K28">
        <v>6</v>
      </c>
      <c r="L28">
        <v>5</v>
      </c>
      <c r="M28">
        <v>1</v>
      </c>
      <c r="N28">
        <v>2</v>
      </c>
      <c r="O28">
        <v>188.5</v>
      </c>
      <c r="P28">
        <v>47.5</v>
      </c>
      <c r="Q28">
        <v>41.7</v>
      </c>
      <c r="R28">
        <v>0</v>
      </c>
      <c r="S28">
        <v>185</v>
      </c>
      <c r="T28">
        <v>370</v>
      </c>
      <c r="U28">
        <v>1000</v>
      </c>
      <c r="V28">
        <v>0</v>
      </c>
      <c r="W28">
        <v>1</v>
      </c>
      <c r="X28">
        <v>1</v>
      </c>
      <c r="Y28">
        <v>1</v>
      </c>
    </row>
    <row r="29" spans="1:32" ht="15" thickBot="1" x14ac:dyDescent="0.35">
      <c r="A29" s="6">
        <v>29</v>
      </c>
      <c r="B29" s="7" t="s">
        <v>27</v>
      </c>
      <c r="C29" s="34">
        <v>2.86199</v>
      </c>
      <c r="D29" s="33">
        <v>1.3270000000000001E-2</v>
      </c>
      <c r="E29" s="36">
        <v>7.2123100000000004</v>
      </c>
      <c r="F29" s="34">
        <v>1.17198</v>
      </c>
      <c r="G29">
        <f t="shared" si="1"/>
        <v>1.0515171870680571</v>
      </c>
      <c r="H29">
        <f t="shared" si="2"/>
        <v>-4.3222494306380206</v>
      </c>
      <c r="I29">
        <f t="shared" si="3"/>
        <v>1.9757892883329848</v>
      </c>
      <c r="J29">
        <f t="shared" si="4"/>
        <v>0.15869462616279836</v>
      </c>
      <c r="R29" s="2"/>
    </row>
    <row r="30" spans="1:32" ht="15" thickBot="1" x14ac:dyDescent="0.35">
      <c r="D30" s="5"/>
      <c r="E30" s="5"/>
      <c r="G30" s="1"/>
      <c r="H30" s="2"/>
      <c r="Q30" s="9"/>
      <c r="R30" s="9"/>
      <c r="S30" s="9"/>
      <c r="T30" s="9"/>
      <c r="U30" s="9"/>
      <c r="V30" s="9"/>
      <c r="W30" s="9"/>
      <c r="X30" s="27"/>
      <c r="Y30" s="11"/>
      <c r="Z30" s="11"/>
      <c r="AA30" s="11"/>
      <c r="AB30" s="11"/>
      <c r="AC30" s="12"/>
      <c r="AD30" s="12"/>
      <c r="AE30" s="12"/>
      <c r="AF30" s="12"/>
    </row>
    <row r="31" spans="1:32" ht="15" thickBot="1" x14ac:dyDescent="0.35">
      <c r="D31" s="5"/>
      <c r="E31" s="5"/>
      <c r="G31" s="1"/>
      <c r="H31" s="2"/>
      <c r="X31" s="2"/>
    </row>
  </sheetData>
  <conditionalFormatting sqref="G2:J2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0"/>
  <sheetViews>
    <sheetView topLeftCell="Q1" zoomScaleNormal="100" workbookViewId="0">
      <selection sqref="A1:AK1"/>
    </sheetView>
  </sheetViews>
  <sheetFormatPr defaultRowHeight="14.4" x14ac:dyDescent="0.3"/>
  <cols>
    <col min="6" max="6" width="9.88671875" bestFit="1" customWidth="1"/>
    <col min="8" max="8" width="13" customWidth="1"/>
    <col min="9" max="9" width="14.44140625" customWidth="1"/>
    <col min="11" max="11" width="15.88671875" customWidth="1"/>
    <col min="13" max="13" width="16.5546875" customWidth="1"/>
    <col min="15" max="15" width="10.6640625" customWidth="1"/>
    <col min="16" max="16" width="16.44140625" customWidth="1"/>
    <col min="45" max="45" width="13" customWidth="1"/>
  </cols>
  <sheetData>
    <row r="1" spans="1:38" ht="54" thickBot="1" x14ac:dyDescent="0.35">
      <c r="A1" t="s">
        <v>87</v>
      </c>
      <c r="B1" t="s">
        <v>34</v>
      </c>
      <c r="C1" t="s">
        <v>35</v>
      </c>
      <c r="D1" t="s">
        <v>36</v>
      </c>
      <c r="E1" t="s">
        <v>37</v>
      </c>
      <c r="F1" t="s">
        <v>89</v>
      </c>
      <c r="G1" t="s">
        <v>90</v>
      </c>
      <c r="H1" t="s">
        <v>91</v>
      </c>
      <c r="I1" t="s">
        <v>92</v>
      </c>
      <c r="J1" s="9" t="s">
        <v>109</v>
      </c>
      <c r="K1" s="9" t="s">
        <v>110</v>
      </c>
      <c r="L1" s="9" t="s">
        <v>44</v>
      </c>
      <c r="M1" s="9" t="s">
        <v>108</v>
      </c>
      <c r="N1" s="9" t="s">
        <v>107</v>
      </c>
      <c r="O1" s="9" t="s">
        <v>111</v>
      </c>
      <c r="P1" s="9" t="s">
        <v>46</v>
      </c>
      <c r="Q1" s="10" t="s">
        <v>47</v>
      </c>
      <c r="R1" s="10" t="s">
        <v>48</v>
      </c>
      <c r="S1" s="10" t="s">
        <v>49</v>
      </c>
      <c r="T1" s="10" t="s">
        <v>50</v>
      </c>
      <c r="U1" s="10" t="s">
        <v>112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2" t="s">
        <v>99</v>
      </c>
      <c r="AC1" s="12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2" t="s">
        <v>59</v>
      </c>
      <c r="AI1" s="13" t="s">
        <v>60</v>
      </c>
      <c r="AJ1" s="15" t="s">
        <v>105</v>
      </c>
      <c r="AK1" s="14" t="s">
        <v>106</v>
      </c>
    </row>
    <row r="2" spans="1:38" ht="15" thickBot="1" x14ac:dyDescent="0.35">
      <c r="A2" s="2" t="s">
        <v>0</v>
      </c>
      <c r="B2" s="32">
        <v>0.37524000000000002</v>
      </c>
      <c r="C2" s="32">
        <v>0.33511999999999997</v>
      </c>
      <c r="D2" s="32">
        <v>0.84943000000000002</v>
      </c>
      <c r="E2" s="32">
        <v>0.48431999999999997</v>
      </c>
      <c r="F2">
        <f t="shared" ref="F2:I29" si="0">LOG((B2),2)</f>
        <v>-1.4141144697906152</v>
      </c>
      <c r="G2">
        <f t="shared" ref="G2:I17" si="1">LOG((C2),2)</f>
        <v>-1.5772503055702887</v>
      </c>
      <c r="H2">
        <f t="shared" si="1"/>
        <v>-0.23543303248539402</v>
      </c>
      <c r="I2">
        <f t="shared" si="1"/>
        <v>-1.0459675146092984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7">
        <v>57</v>
      </c>
      <c r="R2" s="17">
        <v>3</v>
      </c>
      <c r="S2" s="17">
        <v>0.82</v>
      </c>
      <c r="T2" s="17">
        <v>0.04</v>
      </c>
      <c r="U2" s="17">
        <v>56</v>
      </c>
      <c r="V2" s="18">
        <f>(243+518)/2</f>
        <v>380.5</v>
      </c>
      <c r="W2" s="18">
        <f>(2657+179+219)/7</f>
        <v>436.42857142857144</v>
      </c>
      <c r="X2" s="18">
        <v>0</v>
      </c>
      <c r="Y2" s="18">
        <f>(463+288+337+238+390+446)/6</f>
        <v>360.33333333333331</v>
      </c>
      <c r="Z2" s="18">
        <v>0</v>
      </c>
      <c r="AA2" s="18">
        <f>1254/2</f>
        <v>627</v>
      </c>
      <c r="AB2" s="19">
        <v>1</v>
      </c>
      <c r="AC2" s="19">
        <v>0</v>
      </c>
      <c r="AD2" s="19">
        <v>1</v>
      </c>
      <c r="AE2" s="19">
        <v>1</v>
      </c>
      <c r="AF2" s="19">
        <v>0</v>
      </c>
      <c r="AG2" s="19">
        <v>1</v>
      </c>
      <c r="AH2" s="19">
        <v>1</v>
      </c>
      <c r="AI2" s="19">
        <v>57.26</v>
      </c>
      <c r="AJ2" s="19">
        <v>1</v>
      </c>
      <c r="AK2" s="19">
        <v>464</v>
      </c>
      <c r="AL2" s="30"/>
    </row>
    <row r="3" spans="1:38" ht="15" thickBot="1" x14ac:dyDescent="0.35">
      <c r="A3" s="2" t="s">
        <v>1</v>
      </c>
      <c r="B3" s="32">
        <v>0.98758999999999997</v>
      </c>
      <c r="C3" s="32">
        <v>0.32636999999999999</v>
      </c>
      <c r="D3" s="35">
        <v>4.4477099999999998</v>
      </c>
      <c r="E3" s="32">
        <v>0.26436999999999999</v>
      </c>
      <c r="F3">
        <f t="shared" si="0"/>
        <v>-1.8015866571359597E-2</v>
      </c>
      <c r="G3">
        <f t="shared" si="1"/>
        <v>-1.6154196443192477</v>
      </c>
      <c r="H3">
        <f t="shared" si="1"/>
        <v>2.1530627243920772</v>
      </c>
      <c r="I3">
        <f t="shared" si="1"/>
        <v>-1.9193696219253864</v>
      </c>
      <c r="J3" s="16">
        <v>11</v>
      </c>
      <c r="K3" s="16">
        <v>8</v>
      </c>
      <c r="L3" s="16">
        <v>4</v>
      </c>
      <c r="M3" s="16">
        <v>2</v>
      </c>
      <c r="N3" s="16">
        <v>137.6</v>
      </c>
      <c r="O3" s="16">
        <v>53.8</v>
      </c>
      <c r="P3" s="16">
        <v>53.8</v>
      </c>
      <c r="Q3" s="17">
        <v>57</v>
      </c>
      <c r="R3" s="17">
        <v>3</v>
      </c>
      <c r="S3" s="17">
        <v>0.82</v>
      </c>
      <c r="T3" s="17">
        <v>0.04</v>
      </c>
      <c r="U3" s="17">
        <v>56</v>
      </c>
      <c r="V3" s="18">
        <v>1000</v>
      </c>
      <c r="W3" s="18">
        <f>(807+559+954+758+649+689+617)/7</f>
        <v>719</v>
      </c>
      <c r="X3" s="18">
        <f>384/2</f>
        <v>192</v>
      </c>
      <c r="Y3" s="18">
        <v>0</v>
      </c>
      <c r="Z3" s="18">
        <f>2423/3</f>
        <v>807.66666666666663</v>
      </c>
      <c r="AA3" s="18">
        <f>1423/2</f>
        <v>711.5</v>
      </c>
      <c r="AB3" s="19">
        <v>2</v>
      </c>
      <c r="AC3" s="19">
        <v>2</v>
      </c>
      <c r="AD3" s="19">
        <v>2</v>
      </c>
      <c r="AE3" s="19">
        <v>0</v>
      </c>
      <c r="AF3" s="19">
        <v>1</v>
      </c>
      <c r="AG3" s="19">
        <v>1</v>
      </c>
      <c r="AH3" s="19">
        <v>1</v>
      </c>
      <c r="AI3" s="19">
        <v>1200.3699999999999</v>
      </c>
      <c r="AJ3" s="19">
        <v>1</v>
      </c>
      <c r="AK3" s="19">
        <v>1000</v>
      </c>
      <c r="AL3" s="30"/>
    </row>
    <row r="4" spans="1:38" ht="15" thickBot="1" x14ac:dyDescent="0.35">
      <c r="A4" s="2" t="s">
        <v>2</v>
      </c>
      <c r="B4" s="34">
        <v>0.61695</v>
      </c>
      <c r="C4" s="34">
        <v>0.72816000000000003</v>
      </c>
      <c r="D4" s="34">
        <v>1.5641499999999999</v>
      </c>
      <c r="E4" s="34">
        <v>0.61639999999999995</v>
      </c>
      <c r="F4">
        <f t="shared" si="0"/>
        <v>-0.69677452232791115</v>
      </c>
      <c r="G4">
        <f t="shared" si="1"/>
        <v>-0.4576726034686221</v>
      </c>
      <c r="H4">
        <f t="shared" si="1"/>
        <v>0.64537887190316479</v>
      </c>
      <c r="I4">
        <f t="shared" si="1"/>
        <v>-0.69806123303466427</v>
      </c>
      <c r="J4" s="16">
        <v>11</v>
      </c>
      <c r="K4" s="16">
        <v>3</v>
      </c>
      <c r="L4" s="16">
        <v>2</v>
      </c>
      <c r="M4" s="16">
        <v>1</v>
      </c>
      <c r="N4" s="16">
        <v>133.4</v>
      </c>
      <c r="O4" s="16">
        <v>53.7</v>
      </c>
      <c r="P4" s="16">
        <v>53.7</v>
      </c>
      <c r="Q4" s="17">
        <v>26</v>
      </c>
      <c r="R4" s="17">
        <v>10</v>
      </c>
      <c r="S4" s="17">
        <v>0.41</v>
      </c>
      <c r="T4" s="17">
        <v>0.16</v>
      </c>
      <c r="U4" s="22">
        <v>80</v>
      </c>
      <c r="V4" s="18">
        <v>0</v>
      </c>
      <c r="W4" s="18">
        <f>(347+435+604+345+401+460)/7</f>
        <v>370.28571428571428</v>
      </c>
      <c r="X4" s="18">
        <f>115/2</f>
        <v>57.5</v>
      </c>
      <c r="Y4" s="18">
        <v>0</v>
      </c>
      <c r="Z4" s="18">
        <v>0</v>
      </c>
      <c r="AA4" s="18">
        <f>1847/2</f>
        <v>923.5</v>
      </c>
      <c r="AB4" s="19">
        <v>0</v>
      </c>
      <c r="AC4" s="19">
        <v>1</v>
      </c>
      <c r="AD4" s="19">
        <v>1</v>
      </c>
      <c r="AE4" s="19">
        <v>0</v>
      </c>
      <c r="AF4" s="19">
        <v>0</v>
      </c>
      <c r="AG4" s="19">
        <v>2</v>
      </c>
      <c r="AH4" s="20">
        <v>1</v>
      </c>
      <c r="AI4" s="19">
        <v>122.27</v>
      </c>
      <c r="AJ4" s="19">
        <v>1</v>
      </c>
      <c r="AK4" s="19">
        <v>500</v>
      </c>
      <c r="AL4" s="30"/>
    </row>
    <row r="5" spans="1:38" ht="15" thickBot="1" x14ac:dyDescent="0.35">
      <c r="A5" s="2" t="s">
        <v>3</v>
      </c>
      <c r="B5" s="34">
        <v>1.38032</v>
      </c>
      <c r="C5" s="33">
        <v>1.2999999999999999E-3</v>
      </c>
      <c r="D5" s="34">
        <v>2.4302299999999999</v>
      </c>
      <c r="E5" s="34">
        <v>0.29574</v>
      </c>
      <c r="F5">
        <f t="shared" si="0"/>
        <v>0.46500276620292308</v>
      </c>
      <c r="G5">
        <f t="shared" si="1"/>
        <v>-9.5872726614083579</v>
      </c>
      <c r="H5">
        <f t="shared" si="1"/>
        <v>1.2810928587516266</v>
      </c>
      <c r="I5">
        <f t="shared" si="1"/>
        <v>-1.7575987080444251</v>
      </c>
      <c r="J5" s="16">
        <v>12</v>
      </c>
      <c r="K5" s="16">
        <v>3</v>
      </c>
      <c r="L5" s="16">
        <v>1</v>
      </c>
      <c r="M5" s="16">
        <v>1</v>
      </c>
      <c r="N5" s="16">
        <f>185/5</f>
        <v>37</v>
      </c>
      <c r="O5" s="16">
        <v>45.4</v>
      </c>
      <c r="P5" s="16">
        <v>41.6</v>
      </c>
      <c r="Q5" s="17">
        <v>26</v>
      </c>
      <c r="R5" s="17">
        <v>10</v>
      </c>
      <c r="S5" s="17">
        <v>0.41</v>
      </c>
      <c r="T5" s="17">
        <v>0.16</v>
      </c>
      <c r="U5" s="22">
        <v>80</v>
      </c>
      <c r="V5" s="21">
        <v>0</v>
      </c>
      <c r="W5" s="18">
        <f>(376+411+576+438+414+370)/7</f>
        <v>369.28571428571428</v>
      </c>
      <c r="X5" s="18">
        <f>1333/2</f>
        <v>666.5</v>
      </c>
      <c r="Y5" s="18">
        <v>0</v>
      </c>
      <c r="Z5" s="18">
        <v>80</v>
      </c>
      <c r="AA5" s="18">
        <f>1791/2</f>
        <v>895.5</v>
      </c>
      <c r="AB5" s="19">
        <v>0</v>
      </c>
      <c r="AC5" s="19">
        <v>2</v>
      </c>
      <c r="AD5" s="19">
        <v>3</v>
      </c>
      <c r="AE5" s="19">
        <v>2</v>
      </c>
      <c r="AF5" s="19">
        <v>2</v>
      </c>
      <c r="AG5" s="19">
        <v>3</v>
      </c>
      <c r="AH5" s="20">
        <v>1</v>
      </c>
      <c r="AI5" s="19">
        <v>493</v>
      </c>
      <c r="AJ5" s="19">
        <v>3</v>
      </c>
      <c r="AK5" s="19">
        <v>1000</v>
      </c>
      <c r="AL5" s="30"/>
    </row>
    <row r="6" spans="1:38" ht="15" thickBot="1" x14ac:dyDescent="0.35">
      <c r="A6" s="2" t="s">
        <v>4</v>
      </c>
      <c r="B6" s="34">
        <v>0.38795000000000002</v>
      </c>
      <c r="C6" s="34">
        <v>0.35116999999999998</v>
      </c>
      <c r="D6" s="34">
        <v>1.6798599999999999</v>
      </c>
      <c r="E6" s="34">
        <v>0.48864000000000002</v>
      </c>
      <c r="F6">
        <f t="shared" si="0"/>
        <v>-1.3660573687643962</v>
      </c>
      <c r="G6">
        <f t="shared" si="1"/>
        <v>-1.5097584923258442</v>
      </c>
      <c r="H6">
        <f t="shared" si="1"/>
        <v>0.74834100340765874</v>
      </c>
      <c r="I6">
        <f t="shared" si="1"/>
        <v>-1.0331561276399601</v>
      </c>
      <c r="J6" s="16">
        <v>2</v>
      </c>
      <c r="K6" s="16">
        <v>3</v>
      </c>
      <c r="L6" s="16">
        <v>0</v>
      </c>
      <c r="M6" s="16">
        <v>1</v>
      </c>
      <c r="N6" s="16">
        <v>51</v>
      </c>
      <c r="O6" s="16">
        <v>55.8</v>
      </c>
      <c r="P6" s="16">
        <v>0</v>
      </c>
      <c r="Q6" s="17">
        <v>26</v>
      </c>
      <c r="R6" s="17">
        <v>10</v>
      </c>
      <c r="S6" s="17">
        <v>0.41</v>
      </c>
      <c r="T6" s="17">
        <v>0.16</v>
      </c>
      <c r="U6" s="22">
        <v>80</v>
      </c>
      <c r="V6" s="18">
        <v>94.5</v>
      </c>
      <c r="W6" s="18">
        <f>(210+251+177+199)/7</f>
        <v>119.57142857142857</v>
      </c>
      <c r="X6" s="18">
        <f>(371+117)/2</f>
        <v>244</v>
      </c>
      <c r="Y6" s="18">
        <f>(129+143)/6</f>
        <v>45.333333333333336</v>
      </c>
      <c r="Z6" s="18">
        <v>0</v>
      </c>
      <c r="AA6" s="18">
        <v>650</v>
      </c>
      <c r="AB6" s="19">
        <v>1</v>
      </c>
      <c r="AC6" s="19">
        <v>1</v>
      </c>
      <c r="AD6" s="19">
        <v>1</v>
      </c>
      <c r="AE6" s="19">
        <v>0</v>
      </c>
      <c r="AF6" s="19">
        <v>0</v>
      </c>
      <c r="AG6" s="19">
        <v>2</v>
      </c>
      <c r="AH6" s="20">
        <v>2</v>
      </c>
      <c r="AI6" s="19">
        <v>609.86</v>
      </c>
      <c r="AJ6" s="19">
        <v>2</v>
      </c>
      <c r="AK6" s="19">
        <v>781</v>
      </c>
      <c r="AL6" s="30"/>
    </row>
    <row r="7" spans="1:38" ht="15" thickBot="1" x14ac:dyDescent="0.35">
      <c r="A7" s="2" t="s">
        <v>5</v>
      </c>
      <c r="B7" s="33">
        <v>0.18389</v>
      </c>
      <c r="C7" s="33">
        <v>0.15010999999999999</v>
      </c>
      <c r="D7" s="34">
        <v>3.6331799999999999</v>
      </c>
      <c r="E7" s="33">
        <v>0.17027999999999999</v>
      </c>
      <c r="F7">
        <f t="shared" si="0"/>
        <v>-2.4430850672455762</v>
      </c>
      <c r="G7">
        <f t="shared" si="1"/>
        <v>-2.7359080055380063</v>
      </c>
      <c r="H7">
        <f t="shared" si="1"/>
        <v>1.861232843505783</v>
      </c>
      <c r="I7">
        <f t="shared" si="1"/>
        <v>-2.5540190996551044</v>
      </c>
      <c r="J7" s="16">
        <v>3</v>
      </c>
      <c r="K7" s="16">
        <v>1</v>
      </c>
      <c r="L7" s="16">
        <v>0</v>
      </c>
      <c r="M7" s="16">
        <v>1</v>
      </c>
      <c r="N7" s="16">
        <v>101</v>
      </c>
      <c r="O7" s="16">
        <v>46.3</v>
      </c>
      <c r="P7" s="16">
        <v>0</v>
      </c>
      <c r="Q7" s="17">
        <v>26</v>
      </c>
      <c r="R7" s="17">
        <v>10</v>
      </c>
      <c r="S7" s="17">
        <v>0.41</v>
      </c>
      <c r="T7" s="17">
        <v>0.16</v>
      </c>
      <c r="U7" s="22">
        <v>80</v>
      </c>
      <c r="V7" s="18">
        <f>(465+862)/2</f>
        <v>663.5</v>
      </c>
      <c r="W7" s="18">
        <f>(277+599+538+669+379+286)/7</f>
        <v>392.57142857142856</v>
      </c>
      <c r="X7" s="18">
        <f>212/2</f>
        <v>106</v>
      </c>
      <c r="Y7" s="18">
        <v>0</v>
      </c>
      <c r="Z7" s="18">
        <f>2659/3</f>
        <v>886.33333333333337</v>
      </c>
      <c r="AA7" s="18">
        <v>500</v>
      </c>
      <c r="AB7" s="19">
        <v>1</v>
      </c>
      <c r="AC7" s="19">
        <v>1</v>
      </c>
      <c r="AD7" s="19">
        <v>0</v>
      </c>
      <c r="AE7" s="19">
        <v>0</v>
      </c>
      <c r="AF7" s="19">
        <v>1</v>
      </c>
      <c r="AG7" s="19">
        <v>1</v>
      </c>
      <c r="AH7" s="20">
        <v>1</v>
      </c>
      <c r="AI7" s="19">
        <v>436.48</v>
      </c>
      <c r="AJ7" s="19">
        <v>2</v>
      </c>
      <c r="AK7" s="19">
        <v>1000</v>
      </c>
      <c r="AL7" s="30"/>
    </row>
    <row r="8" spans="1:38" ht="15" thickBot="1" x14ac:dyDescent="0.35">
      <c r="A8" s="2" t="s">
        <v>6</v>
      </c>
      <c r="B8" s="34">
        <v>0.55620000000000003</v>
      </c>
      <c r="C8" s="33">
        <v>4.836E-2</v>
      </c>
      <c r="D8" s="34">
        <v>3.8695900000000001</v>
      </c>
      <c r="E8" s="33">
        <v>0.16667000000000001</v>
      </c>
      <c r="F8">
        <f t="shared" si="0"/>
        <v>-0.84632435020276242</v>
      </c>
      <c r="G8">
        <f t="shared" si="1"/>
        <v>-4.3700419451876886</v>
      </c>
      <c r="H8">
        <f t="shared" si="1"/>
        <v>1.9521807146120813</v>
      </c>
      <c r="I8">
        <f t="shared" si="1"/>
        <v>-2.5849336471088735</v>
      </c>
      <c r="J8" s="16">
        <v>18</v>
      </c>
      <c r="K8" s="16">
        <v>6</v>
      </c>
      <c r="L8" s="16">
        <v>3</v>
      </c>
      <c r="M8" s="16">
        <v>1</v>
      </c>
      <c r="N8" s="16">
        <v>173.8</v>
      </c>
      <c r="O8" s="16">
        <v>54</v>
      </c>
      <c r="P8" s="16">
        <v>54</v>
      </c>
      <c r="Q8" s="17">
        <v>32</v>
      </c>
      <c r="R8" s="17">
        <v>7</v>
      </c>
      <c r="S8" s="17">
        <v>1.1200000000000001</v>
      </c>
      <c r="T8" s="17">
        <v>0.25</v>
      </c>
      <c r="U8" s="17">
        <v>94</v>
      </c>
      <c r="V8" s="18">
        <v>1000</v>
      </c>
      <c r="W8" s="18">
        <f>(195+335+343+391+370)/7</f>
        <v>233.42857142857142</v>
      </c>
      <c r="X8" s="18">
        <f>(491+137)/2</f>
        <v>314</v>
      </c>
      <c r="Y8" s="18">
        <f>(277+201+367+144+412+370)/6</f>
        <v>295.16666666666669</v>
      </c>
      <c r="Z8" s="18">
        <f>370*2/3</f>
        <v>246.66666666666666</v>
      </c>
      <c r="AA8" s="21">
        <f>1630/2</f>
        <v>815</v>
      </c>
      <c r="AB8" s="19">
        <v>2</v>
      </c>
      <c r="AC8" s="19">
        <v>1</v>
      </c>
      <c r="AD8" s="19">
        <v>2</v>
      </c>
      <c r="AE8" s="19">
        <v>2</v>
      </c>
      <c r="AF8" s="19">
        <v>1</v>
      </c>
      <c r="AG8" s="19">
        <v>6</v>
      </c>
      <c r="AH8" s="19">
        <v>1</v>
      </c>
      <c r="AI8" s="19">
        <v>1751.04</v>
      </c>
      <c r="AJ8" s="19">
        <v>4</v>
      </c>
      <c r="AK8" s="19">
        <v>1000</v>
      </c>
      <c r="AL8" s="30"/>
    </row>
    <row r="9" spans="1:38" ht="27.6" thickBot="1" x14ac:dyDescent="0.35">
      <c r="A9" s="2" t="s">
        <v>7</v>
      </c>
      <c r="B9" s="33">
        <v>0.21295</v>
      </c>
      <c r="C9" s="34">
        <v>0.72558999999999996</v>
      </c>
      <c r="D9" s="34">
        <v>3.80213</v>
      </c>
      <c r="E9" s="34">
        <v>0.54747000000000001</v>
      </c>
      <c r="F9">
        <f t="shared" si="0"/>
        <v>-2.2314133649991117</v>
      </c>
      <c r="G9">
        <f t="shared" si="1"/>
        <v>-0.46277352194516042</v>
      </c>
      <c r="H9">
        <f t="shared" si="1"/>
        <v>1.926807860536959</v>
      </c>
      <c r="I9">
        <f t="shared" si="1"/>
        <v>-0.86914818412249506</v>
      </c>
      <c r="J9" s="16">
        <v>14</v>
      </c>
      <c r="K9" s="16">
        <v>5</v>
      </c>
      <c r="L9" s="16">
        <v>2</v>
      </c>
      <c r="M9" s="16">
        <v>1</v>
      </c>
      <c r="N9" s="16">
        <v>96</v>
      </c>
      <c r="O9" s="16">
        <v>52</v>
      </c>
      <c r="P9" s="16">
        <v>47.1</v>
      </c>
      <c r="Q9" s="17">
        <v>32</v>
      </c>
      <c r="R9" s="17">
        <v>7</v>
      </c>
      <c r="S9" s="17">
        <v>1.1200000000000001</v>
      </c>
      <c r="T9" s="17">
        <v>0.25</v>
      </c>
      <c r="U9" s="22">
        <v>94</v>
      </c>
      <c r="V9" s="18">
        <f>(483+908)/2</f>
        <v>695.5</v>
      </c>
      <c r="W9" s="18">
        <f>(858+479+224+309+219+179)/7</f>
        <v>324</v>
      </c>
      <c r="X9" s="18">
        <f>(336+158)/2</f>
        <v>247</v>
      </c>
      <c r="Y9" s="18">
        <f>(166+215+370)/6</f>
        <v>125.16666666666667</v>
      </c>
      <c r="Z9" s="18">
        <f>139/3</f>
        <v>46.333333333333336</v>
      </c>
      <c r="AA9" s="21">
        <f>1665/2</f>
        <v>832.5</v>
      </c>
      <c r="AB9" s="19">
        <v>1</v>
      </c>
      <c r="AC9" s="19">
        <v>1</v>
      </c>
      <c r="AD9" s="19">
        <v>2</v>
      </c>
      <c r="AE9" s="19">
        <v>1</v>
      </c>
      <c r="AF9" s="19">
        <v>0</v>
      </c>
      <c r="AG9" s="19">
        <v>2</v>
      </c>
      <c r="AH9" s="20">
        <v>1</v>
      </c>
      <c r="AI9" s="19">
        <v>389</v>
      </c>
      <c r="AJ9" s="19">
        <v>3</v>
      </c>
      <c r="AK9" s="19">
        <v>599</v>
      </c>
      <c r="AL9" s="30"/>
    </row>
    <row r="10" spans="1:38" ht="15" thickBot="1" x14ac:dyDescent="0.35">
      <c r="A10" s="2" t="s">
        <v>8</v>
      </c>
      <c r="B10" s="34">
        <v>0.50351999999999997</v>
      </c>
      <c r="C10" s="33">
        <v>5.8590000000000003E-2</v>
      </c>
      <c r="D10" s="34">
        <v>2.2934899999999998</v>
      </c>
      <c r="E10" s="33">
        <v>0.19428000000000001</v>
      </c>
      <c r="F10">
        <f t="shared" si="0"/>
        <v>-0.98987901113838805</v>
      </c>
      <c r="G10">
        <f t="shared" si="1"/>
        <v>-4.0932017398288636</v>
      </c>
      <c r="H10">
        <f t="shared" si="1"/>
        <v>1.1975446170419095</v>
      </c>
      <c r="I10">
        <f t="shared" si="1"/>
        <v>-2.3637907034130894</v>
      </c>
      <c r="J10" s="16">
        <v>21</v>
      </c>
      <c r="K10" s="16">
        <v>4</v>
      </c>
      <c r="L10" s="16">
        <v>4</v>
      </c>
      <c r="M10" s="16">
        <v>2</v>
      </c>
      <c r="N10" s="16">
        <v>240</v>
      </c>
      <c r="O10" s="16">
        <v>51.3</v>
      </c>
      <c r="P10" s="16">
        <v>51.3</v>
      </c>
      <c r="Q10" s="17">
        <v>51</v>
      </c>
      <c r="R10" s="17">
        <v>3</v>
      </c>
      <c r="S10" s="17">
        <v>0.82</v>
      </c>
      <c r="T10" s="17">
        <v>0.05</v>
      </c>
      <c r="U10" s="17">
        <v>154</v>
      </c>
      <c r="V10" s="18">
        <f>(407+711)/2</f>
        <v>559</v>
      </c>
      <c r="W10" s="18">
        <f>(159+215+344+536+309)/7</f>
        <v>223.28571428571428</v>
      </c>
      <c r="X10" s="18">
        <f>1756/2</f>
        <v>878</v>
      </c>
      <c r="Y10" s="18">
        <v>0</v>
      </c>
      <c r="Z10" s="18">
        <f>117/2</f>
        <v>58.5</v>
      </c>
      <c r="AA10" s="18">
        <f>1447/2</f>
        <v>723.5</v>
      </c>
      <c r="AB10" s="19">
        <v>1</v>
      </c>
      <c r="AC10" s="19">
        <v>1</v>
      </c>
      <c r="AD10" s="19">
        <v>3</v>
      </c>
      <c r="AE10" s="19">
        <v>0</v>
      </c>
      <c r="AF10" s="19">
        <v>0</v>
      </c>
      <c r="AG10" s="19">
        <v>2</v>
      </c>
      <c r="AH10" s="20">
        <v>2</v>
      </c>
      <c r="AI10" s="19">
        <v>850.57</v>
      </c>
      <c r="AJ10" s="19">
        <v>2</v>
      </c>
      <c r="AK10" s="19">
        <v>1000</v>
      </c>
      <c r="AL10" s="30"/>
    </row>
    <row r="11" spans="1:38" ht="27.6" thickBot="1" x14ac:dyDescent="0.35">
      <c r="A11" s="2" t="s">
        <v>9</v>
      </c>
      <c r="B11" s="34">
        <v>0.43389</v>
      </c>
      <c r="C11" s="34">
        <v>0.31134000000000001</v>
      </c>
      <c r="D11" s="34">
        <v>1.7440500000000001</v>
      </c>
      <c r="E11" s="34">
        <v>0.45051999999999998</v>
      </c>
      <c r="F11">
        <f t="shared" si="0"/>
        <v>-1.2045987585982494</v>
      </c>
      <c r="G11">
        <f t="shared" si="1"/>
        <v>-1.6834371531769068</v>
      </c>
      <c r="H11">
        <f t="shared" si="1"/>
        <v>0.80244140119168716</v>
      </c>
      <c r="I11">
        <f t="shared" si="1"/>
        <v>-1.1503369416557616</v>
      </c>
      <c r="J11" s="16">
        <v>5</v>
      </c>
      <c r="K11" s="16">
        <v>2</v>
      </c>
      <c r="L11" s="16">
        <v>0</v>
      </c>
      <c r="M11" s="16">
        <v>1</v>
      </c>
      <c r="N11" s="16">
        <v>60</v>
      </c>
      <c r="O11" s="16">
        <v>46.3</v>
      </c>
      <c r="P11" s="16">
        <v>0</v>
      </c>
      <c r="Q11" s="17">
        <v>51</v>
      </c>
      <c r="R11" s="17">
        <v>3</v>
      </c>
      <c r="S11" s="17">
        <v>0.82</v>
      </c>
      <c r="T11" s="17">
        <v>0.05</v>
      </c>
      <c r="U11" s="17">
        <v>154</v>
      </c>
      <c r="V11" s="18">
        <v>0</v>
      </c>
      <c r="W11" s="18">
        <f>211/7</f>
        <v>30.142857142857142</v>
      </c>
      <c r="X11" s="18">
        <f>268/2</f>
        <v>134</v>
      </c>
      <c r="Y11" s="18">
        <v>0</v>
      </c>
      <c r="Z11" s="18">
        <v>0</v>
      </c>
      <c r="AA11" s="18">
        <f>903/2</f>
        <v>451.5</v>
      </c>
      <c r="AB11" s="19">
        <v>0</v>
      </c>
      <c r="AC11" s="19">
        <v>0</v>
      </c>
      <c r="AD11" s="19">
        <v>1</v>
      </c>
      <c r="AE11" s="19">
        <v>0</v>
      </c>
      <c r="AF11" s="19">
        <v>0</v>
      </c>
      <c r="AG11" s="19">
        <v>1</v>
      </c>
      <c r="AH11" s="20">
        <v>0</v>
      </c>
      <c r="AI11" s="19">
        <v>0</v>
      </c>
      <c r="AJ11" s="19">
        <v>1</v>
      </c>
      <c r="AK11" s="19">
        <v>534</v>
      </c>
      <c r="AL11" s="30"/>
    </row>
    <row r="12" spans="1:38" ht="15" thickBot="1" x14ac:dyDescent="0.35">
      <c r="A12" s="2" t="s">
        <v>10</v>
      </c>
      <c r="B12" s="33">
        <v>0.24093000000000001</v>
      </c>
      <c r="C12" s="33">
        <v>0.15953999999999999</v>
      </c>
      <c r="D12" s="34">
        <v>0.60089999999999999</v>
      </c>
      <c r="E12" s="33">
        <v>0.15819</v>
      </c>
      <c r="F12">
        <f t="shared" si="0"/>
        <v>-2.0533140493537219</v>
      </c>
      <c r="G12">
        <f t="shared" si="1"/>
        <v>-2.6480099118579883</v>
      </c>
      <c r="H12">
        <f t="shared" si="1"/>
        <v>-0.73480317301558562</v>
      </c>
      <c r="I12">
        <f t="shared" si="1"/>
        <v>-2.6602696923358233</v>
      </c>
      <c r="J12" s="16">
        <v>30</v>
      </c>
      <c r="K12" s="16">
        <v>17</v>
      </c>
      <c r="L12" s="16">
        <v>0</v>
      </c>
      <c r="M12" s="16">
        <v>1</v>
      </c>
      <c r="N12" s="16">
        <v>237</v>
      </c>
      <c r="O12" s="16">
        <v>53.1</v>
      </c>
      <c r="P12" s="16">
        <v>53.1</v>
      </c>
      <c r="Q12" s="17">
        <v>53</v>
      </c>
      <c r="R12" s="17">
        <v>4</v>
      </c>
      <c r="S12" s="17">
        <v>1.28</v>
      </c>
      <c r="T12" s="17">
        <v>0.1</v>
      </c>
      <c r="U12" s="22">
        <v>294</v>
      </c>
      <c r="V12" s="18">
        <f>1534/2</f>
        <v>767</v>
      </c>
      <c r="W12" s="18">
        <f>(220+278+173)/7</f>
        <v>95.857142857142861</v>
      </c>
      <c r="X12" s="18">
        <v>160</v>
      </c>
      <c r="Y12" s="18">
        <v>1000</v>
      </c>
      <c r="Z12" s="18">
        <v>0</v>
      </c>
      <c r="AA12" s="18">
        <v>832</v>
      </c>
      <c r="AB12" s="19">
        <v>3</v>
      </c>
      <c r="AC12" s="19">
        <v>2</v>
      </c>
      <c r="AD12" s="19">
        <v>2</v>
      </c>
      <c r="AE12" s="19">
        <v>1</v>
      </c>
      <c r="AF12" s="19">
        <v>0</v>
      </c>
      <c r="AG12" s="19">
        <v>6</v>
      </c>
      <c r="AH12" s="20">
        <v>1</v>
      </c>
      <c r="AI12" s="19">
        <v>809.21</v>
      </c>
      <c r="AJ12" s="19">
        <v>2</v>
      </c>
      <c r="AK12" s="19">
        <v>537</v>
      </c>
      <c r="AL12" s="30"/>
    </row>
    <row r="13" spans="1:38" ht="15" thickBot="1" x14ac:dyDescent="0.35">
      <c r="A13" s="2" t="s">
        <v>11</v>
      </c>
      <c r="B13" s="33">
        <v>7.8399999999999997E-2</v>
      </c>
      <c r="C13" s="34">
        <v>0.30686000000000002</v>
      </c>
      <c r="D13" s="34">
        <v>3.5396100000000001</v>
      </c>
      <c r="E13" s="33">
        <v>0.23122000000000001</v>
      </c>
      <c r="F13">
        <f t="shared" si="0"/>
        <v>-3.6730025354342417</v>
      </c>
      <c r="G13">
        <f t="shared" si="1"/>
        <v>-1.7043474958820952</v>
      </c>
      <c r="H13">
        <f t="shared" si="1"/>
        <v>1.8235904105733252</v>
      </c>
      <c r="I13">
        <f t="shared" si="1"/>
        <v>-2.112661901837336</v>
      </c>
      <c r="J13" s="16">
        <v>9</v>
      </c>
      <c r="K13" s="16">
        <v>4</v>
      </c>
      <c r="L13" s="16">
        <v>0</v>
      </c>
      <c r="M13" s="16">
        <v>1</v>
      </c>
      <c r="N13" s="16">
        <v>137</v>
      </c>
      <c r="O13" s="16">
        <v>54.4</v>
      </c>
      <c r="P13" s="16">
        <v>0</v>
      </c>
      <c r="Q13" s="17">
        <v>53</v>
      </c>
      <c r="R13" s="17">
        <v>4</v>
      </c>
      <c r="S13" s="17">
        <v>1.28</v>
      </c>
      <c r="T13" s="17">
        <v>0.1</v>
      </c>
      <c r="U13" s="22">
        <v>294</v>
      </c>
      <c r="V13" s="18">
        <f>1578/2</f>
        <v>789</v>
      </c>
      <c r="W13" s="18">
        <f>(378+255+693+433+472+631+370)/7</f>
        <v>461.71428571428572</v>
      </c>
      <c r="X13" s="18">
        <v>116.5</v>
      </c>
      <c r="Y13" s="18">
        <f>142/6</f>
        <v>23.666666666666668</v>
      </c>
      <c r="Z13" s="18">
        <v>0</v>
      </c>
      <c r="AA13" s="18">
        <f>1714/2</f>
        <v>857</v>
      </c>
      <c r="AB13" s="19">
        <v>1</v>
      </c>
      <c r="AC13" s="19">
        <v>2</v>
      </c>
      <c r="AD13" s="19">
        <v>1</v>
      </c>
      <c r="AE13" s="19">
        <v>0</v>
      </c>
      <c r="AF13" s="19">
        <v>0</v>
      </c>
      <c r="AG13" s="19">
        <v>1</v>
      </c>
      <c r="AH13" s="20">
        <v>0</v>
      </c>
      <c r="AI13" s="19">
        <v>0</v>
      </c>
      <c r="AJ13" s="19">
        <v>1</v>
      </c>
      <c r="AK13" s="19">
        <v>556</v>
      </c>
      <c r="AL13" s="30"/>
    </row>
    <row r="14" spans="1:38" ht="15" thickBot="1" x14ac:dyDescent="0.35">
      <c r="A14" s="2" t="s">
        <v>12</v>
      </c>
      <c r="B14" s="34">
        <v>0.79901</v>
      </c>
      <c r="C14" s="34">
        <v>0.49498999999999999</v>
      </c>
      <c r="D14" s="34">
        <v>1.7419800000000001</v>
      </c>
      <c r="E14" s="34">
        <v>0.77381999999999995</v>
      </c>
      <c r="F14">
        <f t="shared" si="0"/>
        <v>-0.32371453558876817</v>
      </c>
      <c r="G14">
        <f t="shared" si="1"/>
        <v>-1.014528715343878</v>
      </c>
      <c r="H14">
        <f t="shared" si="1"/>
        <v>0.8007280601787663</v>
      </c>
      <c r="I14">
        <f t="shared" si="1"/>
        <v>-0.36993007801119765</v>
      </c>
      <c r="J14" s="16">
        <v>5</v>
      </c>
      <c r="K14" s="16">
        <v>4</v>
      </c>
      <c r="L14" s="16">
        <v>1</v>
      </c>
      <c r="M14" s="16">
        <v>1</v>
      </c>
      <c r="N14" s="16">
        <v>219</v>
      </c>
      <c r="O14" s="16">
        <v>57.5</v>
      </c>
      <c r="P14" s="16">
        <v>52.8</v>
      </c>
      <c r="Q14" s="17">
        <v>53</v>
      </c>
      <c r="R14" s="17">
        <v>4</v>
      </c>
      <c r="S14" s="17">
        <v>1.28</v>
      </c>
      <c r="T14" s="17">
        <v>0.1</v>
      </c>
      <c r="U14" s="22">
        <v>294</v>
      </c>
      <c r="V14" s="18">
        <v>1000</v>
      </c>
      <c r="W14" s="18">
        <f>(566+464+815+929+1831+370)/7</f>
        <v>710.71428571428567</v>
      </c>
      <c r="X14" s="18">
        <v>502</v>
      </c>
      <c r="Y14" s="18">
        <f>(4799+889)/6</f>
        <v>948</v>
      </c>
      <c r="Z14" s="18">
        <f>534*2/3</f>
        <v>356</v>
      </c>
      <c r="AA14" s="18">
        <f>1278/2</f>
        <v>639</v>
      </c>
      <c r="AB14" s="19">
        <v>3</v>
      </c>
      <c r="AC14" s="19">
        <v>2</v>
      </c>
      <c r="AD14" s="19">
        <v>1</v>
      </c>
      <c r="AE14" s="19">
        <v>1</v>
      </c>
      <c r="AF14" s="19">
        <v>1</v>
      </c>
      <c r="AG14" s="19">
        <v>2</v>
      </c>
      <c r="AH14" s="20">
        <v>1</v>
      </c>
      <c r="AI14" s="19">
        <v>374.24</v>
      </c>
      <c r="AJ14" s="19">
        <v>1</v>
      </c>
      <c r="AK14" s="19">
        <v>682</v>
      </c>
      <c r="AL14" s="30"/>
    </row>
    <row r="15" spans="1:38" ht="15" thickBot="1" x14ac:dyDescent="0.35">
      <c r="A15" s="2" t="s">
        <v>13</v>
      </c>
      <c r="B15" s="34">
        <v>1.1485099999999999</v>
      </c>
      <c r="C15" s="33">
        <v>0.16633000000000001</v>
      </c>
      <c r="D15" s="34">
        <v>2.34083</v>
      </c>
      <c r="E15" s="34">
        <v>0.63400999999999996</v>
      </c>
      <c r="F15">
        <f t="shared" si="0"/>
        <v>0.19976341822006088</v>
      </c>
      <c r="G15">
        <f t="shared" si="1"/>
        <v>-2.5878796920599494</v>
      </c>
      <c r="H15">
        <f t="shared" si="1"/>
        <v>1.2270201642395342</v>
      </c>
      <c r="I15">
        <f t="shared" si="1"/>
        <v>-0.65742249925985208</v>
      </c>
      <c r="J15" s="16">
        <v>8</v>
      </c>
      <c r="K15" s="16">
        <v>1</v>
      </c>
      <c r="L15" s="16">
        <v>0</v>
      </c>
      <c r="M15" s="16">
        <v>1</v>
      </c>
      <c r="N15" s="16">
        <v>118</v>
      </c>
      <c r="O15" s="16">
        <v>38.700000000000003</v>
      </c>
      <c r="P15" s="16">
        <v>0</v>
      </c>
      <c r="Q15" s="17">
        <v>10</v>
      </c>
      <c r="R15" s="17">
        <v>4</v>
      </c>
      <c r="S15" s="17">
        <v>1.94</v>
      </c>
      <c r="T15" s="17">
        <v>0.78</v>
      </c>
      <c r="U15" s="17">
        <v>374</v>
      </c>
      <c r="V15" s="18">
        <f>1971/2</f>
        <v>985.5</v>
      </c>
      <c r="W15" s="18">
        <f>(407+467+736+622+551+408+162)/7</f>
        <v>479</v>
      </c>
      <c r="X15" s="18">
        <f>(899+113)/2</f>
        <v>506</v>
      </c>
      <c r="Y15" s="18">
        <f>(686+538+704+340+661+720)/6</f>
        <v>608.16666666666663</v>
      </c>
      <c r="Z15" s="18">
        <v>0</v>
      </c>
      <c r="AA15" s="18">
        <f>1307/2</f>
        <v>653.5</v>
      </c>
      <c r="AB15" s="19">
        <v>1</v>
      </c>
      <c r="AC15" s="19">
        <v>2</v>
      </c>
      <c r="AD15" s="19">
        <v>2</v>
      </c>
      <c r="AE15" s="19">
        <v>1</v>
      </c>
      <c r="AF15" s="19">
        <v>0</v>
      </c>
      <c r="AG15" s="19">
        <v>2</v>
      </c>
      <c r="AH15" s="20">
        <v>1</v>
      </c>
      <c r="AI15" s="19">
        <v>908.71</v>
      </c>
      <c r="AJ15" s="19">
        <v>1</v>
      </c>
      <c r="AK15" s="19">
        <v>1000</v>
      </c>
      <c r="AL15" s="30"/>
    </row>
    <row r="16" spans="1:38" ht="15" thickBot="1" x14ac:dyDescent="0.35">
      <c r="A16" s="2" t="s">
        <v>14</v>
      </c>
      <c r="B16" s="33">
        <v>0.17995</v>
      </c>
      <c r="C16" s="33">
        <v>3.7229999999999999E-2</v>
      </c>
      <c r="D16" s="34">
        <v>0.70716000000000001</v>
      </c>
      <c r="E16" s="33">
        <v>0.14799000000000001</v>
      </c>
      <c r="F16">
        <f t="shared" si="0"/>
        <v>-2.4743319926247218</v>
      </c>
      <c r="G16">
        <f t="shared" si="1"/>
        <v>-4.7473905735852995</v>
      </c>
      <c r="H16">
        <f t="shared" si="1"/>
        <v>-0.49989142286404875</v>
      </c>
      <c r="I16">
        <f t="shared" si="1"/>
        <v>-2.7564284017211631</v>
      </c>
      <c r="J16" s="16">
        <v>16</v>
      </c>
      <c r="K16" s="16">
        <v>11</v>
      </c>
      <c r="L16" s="16">
        <v>3</v>
      </c>
      <c r="M16" s="16">
        <v>6</v>
      </c>
      <c r="N16" s="16">
        <v>157.19999999999999</v>
      </c>
      <c r="O16" s="16">
        <v>47.8</v>
      </c>
      <c r="P16" s="16">
        <v>47.8</v>
      </c>
      <c r="Q16" s="17">
        <v>10</v>
      </c>
      <c r="R16" s="17">
        <v>4</v>
      </c>
      <c r="S16" s="17">
        <v>1.94</v>
      </c>
      <c r="T16" s="17">
        <v>0.78</v>
      </c>
      <c r="U16" s="17">
        <v>374</v>
      </c>
      <c r="V16" s="18">
        <v>557</v>
      </c>
      <c r="W16" s="18">
        <v>716.57</v>
      </c>
      <c r="X16" s="18">
        <v>162.5</v>
      </c>
      <c r="Y16" s="18">
        <f>(608+739+807+889+1803)/6</f>
        <v>807.66666666666663</v>
      </c>
      <c r="Z16" s="18">
        <v>320.60000000000002</v>
      </c>
      <c r="AA16" s="18">
        <f>1476/2</f>
        <v>738</v>
      </c>
      <c r="AB16" s="19">
        <v>2</v>
      </c>
      <c r="AC16" s="19">
        <v>4</v>
      </c>
      <c r="AD16" s="19">
        <v>2</v>
      </c>
      <c r="AE16" s="19">
        <v>1</v>
      </c>
      <c r="AF16" s="19">
        <v>2</v>
      </c>
      <c r="AG16" s="19">
        <v>7</v>
      </c>
      <c r="AH16" s="20">
        <v>1</v>
      </c>
      <c r="AI16" s="19">
        <v>3100</v>
      </c>
      <c r="AJ16" s="19">
        <v>2</v>
      </c>
      <c r="AK16" s="19">
        <v>1000</v>
      </c>
      <c r="AL16" s="30"/>
    </row>
    <row r="17" spans="1:46" ht="15" thickBot="1" x14ac:dyDescent="0.35">
      <c r="A17" s="2" t="s">
        <v>15</v>
      </c>
      <c r="B17" s="34">
        <v>0.60185</v>
      </c>
      <c r="C17" s="33">
        <v>0.12623000000000001</v>
      </c>
      <c r="D17" s="34">
        <v>1.8175399999999999</v>
      </c>
      <c r="E17" s="34">
        <v>0.43369000000000002</v>
      </c>
      <c r="F17">
        <f t="shared" si="0"/>
        <v>-0.73252412820350765</v>
      </c>
      <c r="G17">
        <f t="shared" si="1"/>
        <v>-2.9858732708765272</v>
      </c>
      <c r="H17">
        <f t="shared" si="1"/>
        <v>0.86198711499307923</v>
      </c>
      <c r="I17">
        <f t="shared" si="1"/>
        <v>-1.2052639168851831</v>
      </c>
      <c r="J17" s="16">
        <v>17</v>
      </c>
      <c r="K17" s="16">
        <v>2</v>
      </c>
      <c r="L17" s="16">
        <v>1</v>
      </c>
      <c r="M17" s="16">
        <v>1</v>
      </c>
      <c r="N17" s="16">
        <v>181</v>
      </c>
      <c r="O17" s="16">
        <v>48.5</v>
      </c>
      <c r="P17" s="16">
        <v>39.200000000000003</v>
      </c>
      <c r="Q17" s="17">
        <v>32</v>
      </c>
      <c r="R17" s="17">
        <v>7</v>
      </c>
      <c r="S17" s="17">
        <v>1.1200000000000001</v>
      </c>
      <c r="T17" s="17">
        <v>0.25</v>
      </c>
      <c r="U17" s="22">
        <v>94</v>
      </c>
      <c r="V17" s="18">
        <f>(281+485)/2</f>
        <v>383</v>
      </c>
      <c r="W17" s="18">
        <f>6401/7</f>
        <v>914.42857142857144</v>
      </c>
      <c r="X17" s="18">
        <v>707</v>
      </c>
      <c r="Y17" s="18">
        <f>(828+598+597+496+666+1000)/6</f>
        <v>697.5</v>
      </c>
      <c r="Z17" s="18">
        <f>243/3</f>
        <v>81</v>
      </c>
      <c r="AA17" s="18">
        <f>1895/2</f>
        <v>947.5</v>
      </c>
      <c r="AB17" s="19">
        <v>1</v>
      </c>
      <c r="AC17" s="19">
        <v>1</v>
      </c>
      <c r="AD17" s="19">
        <v>1</v>
      </c>
      <c r="AE17" s="19">
        <v>1</v>
      </c>
      <c r="AF17" s="19">
        <v>0</v>
      </c>
      <c r="AG17" s="19">
        <v>2</v>
      </c>
      <c r="AH17" s="20">
        <v>1</v>
      </c>
      <c r="AI17" s="19">
        <v>720.79</v>
      </c>
      <c r="AJ17" s="19">
        <v>2</v>
      </c>
      <c r="AK17" s="19">
        <v>851</v>
      </c>
      <c r="AL17" s="30"/>
    </row>
    <row r="18" spans="1:46" ht="15" thickBot="1" x14ac:dyDescent="0.35">
      <c r="A18" s="2" t="s">
        <v>16</v>
      </c>
      <c r="B18" s="34">
        <v>0.41871999999999998</v>
      </c>
      <c r="C18" s="34">
        <v>0.40589999999999998</v>
      </c>
      <c r="D18" s="34">
        <v>1.4388300000000001</v>
      </c>
      <c r="E18" s="34">
        <v>0.33349000000000001</v>
      </c>
      <c r="F18">
        <f t="shared" si="0"/>
        <v>-1.2559422653887771</v>
      </c>
      <c r="G18">
        <f t="shared" si="0"/>
        <v>-1.3008037548517561</v>
      </c>
      <c r="H18">
        <f t="shared" si="0"/>
        <v>0.52489614548669139</v>
      </c>
      <c r="I18">
        <f t="shared" si="0"/>
        <v>-1.584284593347695</v>
      </c>
      <c r="J18" s="16">
        <v>14</v>
      </c>
      <c r="K18" s="16">
        <v>5</v>
      </c>
      <c r="L18" s="16">
        <v>0</v>
      </c>
      <c r="M18" s="16">
        <v>1</v>
      </c>
      <c r="N18" s="16">
        <v>162</v>
      </c>
      <c r="O18" s="16">
        <v>51.9</v>
      </c>
      <c r="P18" s="16">
        <v>0</v>
      </c>
      <c r="Q18" s="17">
        <v>2</v>
      </c>
      <c r="R18" s="17">
        <v>3</v>
      </c>
      <c r="S18" s="17">
        <v>0.41</v>
      </c>
      <c r="T18" s="17">
        <v>0.62</v>
      </c>
      <c r="U18" s="17">
        <v>348</v>
      </c>
      <c r="V18" s="18">
        <f>(593+418)/2</f>
        <v>505.5</v>
      </c>
      <c r="W18" s="18">
        <f>(673+724+2742+957+893)/7</f>
        <v>855.57142857142856</v>
      </c>
      <c r="X18" s="18">
        <v>830</v>
      </c>
      <c r="Y18" s="18">
        <v>1000</v>
      </c>
      <c r="Z18" s="18">
        <f>131/3</f>
        <v>43.666666666666664</v>
      </c>
      <c r="AA18" s="18">
        <f>1479/2</f>
        <v>739.5</v>
      </c>
      <c r="AB18" s="19">
        <v>2</v>
      </c>
      <c r="AC18" s="19">
        <v>1</v>
      </c>
      <c r="AD18" s="19">
        <v>3</v>
      </c>
      <c r="AE18" s="19">
        <v>1</v>
      </c>
      <c r="AF18" s="19">
        <v>0</v>
      </c>
      <c r="AG18" s="19">
        <v>3</v>
      </c>
      <c r="AH18" s="20">
        <v>1</v>
      </c>
      <c r="AI18" s="19">
        <v>973.49</v>
      </c>
      <c r="AJ18" s="19">
        <v>3</v>
      </c>
      <c r="AK18" s="19">
        <v>760</v>
      </c>
      <c r="AL18" s="30"/>
    </row>
    <row r="19" spans="1:46" ht="15" thickBot="1" x14ac:dyDescent="0.35">
      <c r="A19" s="2" t="s">
        <v>17</v>
      </c>
      <c r="B19" s="34">
        <v>0.62665999999999999</v>
      </c>
      <c r="C19" s="33">
        <v>0.20707999999999999</v>
      </c>
      <c r="D19" s="34">
        <v>3.4137900000000001</v>
      </c>
      <c r="E19" s="34">
        <v>0.39676</v>
      </c>
      <c r="F19">
        <f t="shared" si="0"/>
        <v>-0.67424518671946532</v>
      </c>
      <c r="G19">
        <f t="shared" si="0"/>
        <v>-2.2717398715758845</v>
      </c>
      <c r="H19">
        <f t="shared" si="0"/>
        <v>1.7713743134104953</v>
      </c>
      <c r="I19">
        <f t="shared" si="0"/>
        <v>-1.3336615094611892</v>
      </c>
      <c r="J19" s="16">
        <v>9</v>
      </c>
      <c r="K19" s="16">
        <v>6</v>
      </c>
      <c r="L19" s="16">
        <v>4</v>
      </c>
      <c r="M19" s="16">
        <v>2</v>
      </c>
      <c r="N19" s="16">
        <v>154</v>
      </c>
      <c r="O19" s="16">
        <v>53.8</v>
      </c>
      <c r="P19" s="16">
        <v>53.8</v>
      </c>
      <c r="Q19" s="17">
        <v>2</v>
      </c>
      <c r="R19" s="17">
        <v>3</v>
      </c>
      <c r="S19" s="17">
        <v>0.41</v>
      </c>
      <c r="T19" s="17">
        <v>0.62</v>
      </c>
      <c r="U19" s="17">
        <v>348</v>
      </c>
      <c r="V19" s="18">
        <v>1000</v>
      </c>
      <c r="W19" s="18">
        <f>6679/7</f>
        <v>954.14285714285711</v>
      </c>
      <c r="X19" s="18">
        <f>(887+122)/2</f>
        <v>504.5</v>
      </c>
      <c r="Y19" s="18">
        <v>905.5</v>
      </c>
      <c r="Z19" s="18">
        <f>2455/3</f>
        <v>818.33333333333337</v>
      </c>
      <c r="AA19" s="18">
        <f>1729/2</f>
        <v>864.5</v>
      </c>
      <c r="AB19" s="19">
        <v>3</v>
      </c>
      <c r="AC19" s="19">
        <v>4</v>
      </c>
      <c r="AD19" s="19">
        <v>2</v>
      </c>
      <c r="AE19" s="19">
        <v>1</v>
      </c>
      <c r="AF19" s="19">
        <v>2</v>
      </c>
      <c r="AG19" s="19">
        <v>4</v>
      </c>
      <c r="AH19" s="20">
        <v>1</v>
      </c>
      <c r="AI19" s="19">
        <v>2459</v>
      </c>
      <c r="AJ19" s="19">
        <v>3</v>
      </c>
      <c r="AK19" s="19">
        <v>864</v>
      </c>
      <c r="AL19" s="30"/>
    </row>
    <row r="20" spans="1:46" ht="15" thickBot="1" x14ac:dyDescent="0.35">
      <c r="A20" s="2" t="s">
        <v>18</v>
      </c>
      <c r="B20" s="34">
        <v>0.55950999999999995</v>
      </c>
      <c r="C20" s="34">
        <v>0.31436999999999998</v>
      </c>
      <c r="D20" s="34">
        <v>2.3545699999999998</v>
      </c>
      <c r="E20" s="34">
        <v>0.33260000000000001</v>
      </c>
      <c r="F20">
        <f t="shared" si="0"/>
        <v>-0.83776417848196982</v>
      </c>
      <c r="G20">
        <f t="shared" si="0"/>
        <v>-1.6694645455996346</v>
      </c>
      <c r="H20">
        <f t="shared" si="0"/>
        <v>1.2354636137615351</v>
      </c>
      <c r="I20">
        <f t="shared" si="0"/>
        <v>-1.5881399262621803</v>
      </c>
      <c r="J20" s="16">
        <v>7</v>
      </c>
      <c r="K20" s="16">
        <v>1</v>
      </c>
      <c r="L20" s="16">
        <v>1</v>
      </c>
      <c r="M20" s="16">
        <v>1</v>
      </c>
      <c r="N20" s="16">
        <v>150</v>
      </c>
      <c r="O20" s="16">
        <v>40.799999999999997</v>
      </c>
      <c r="P20" s="16">
        <v>40.799999999999997</v>
      </c>
      <c r="Q20" s="17">
        <v>2</v>
      </c>
      <c r="R20" s="17">
        <v>3</v>
      </c>
      <c r="S20" s="17">
        <v>0.41</v>
      </c>
      <c r="T20" s="17">
        <v>0.62</v>
      </c>
      <c r="U20" s="17">
        <v>348</v>
      </c>
      <c r="V20" s="18">
        <v>1000</v>
      </c>
      <c r="W20" s="18">
        <f>(1000+923+1748+736+689+736)/7</f>
        <v>833.14285714285711</v>
      </c>
      <c r="X20" s="18">
        <f>(383+128)/2</f>
        <v>255.5</v>
      </c>
      <c r="Y20" s="18">
        <f>(118+131)/6</f>
        <v>41.5</v>
      </c>
      <c r="Z20" s="18">
        <f>172/3</f>
        <v>57.333333333333336</v>
      </c>
      <c r="AA20" s="18">
        <f>1348/2</f>
        <v>674</v>
      </c>
      <c r="AB20" s="19">
        <v>2</v>
      </c>
      <c r="AC20" s="19">
        <v>2</v>
      </c>
      <c r="AD20" s="19">
        <v>2</v>
      </c>
      <c r="AE20" s="19">
        <v>0</v>
      </c>
      <c r="AF20" s="19">
        <v>0</v>
      </c>
      <c r="AG20" s="19">
        <v>1</v>
      </c>
      <c r="AH20" s="20">
        <v>1</v>
      </c>
      <c r="AI20" s="19">
        <v>985.6</v>
      </c>
      <c r="AJ20" s="19">
        <v>2</v>
      </c>
      <c r="AK20" s="19">
        <v>426</v>
      </c>
      <c r="AL20" s="30"/>
      <c r="AT20" s="29"/>
    </row>
    <row r="21" spans="1:46" ht="15" thickBot="1" x14ac:dyDescent="0.35">
      <c r="A21" s="7" t="s">
        <v>19</v>
      </c>
      <c r="B21" s="34">
        <v>0.34288000000000002</v>
      </c>
      <c r="C21" s="33">
        <v>0.12055</v>
      </c>
      <c r="D21" s="34">
        <v>1.7099599999999999</v>
      </c>
      <c r="E21" s="33">
        <v>8.3960000000000007E-2</v>
      </c>
      <c r="F21">
        <f t="shared" si="0"/>
        <v>-1.5442243397602642</v>
      </c>
      <c r="G21">
        <f t="shared" si="0"/>
        <v>-3.0522964439469233</v>
      </c>
      <c r="H21">
        <f t="shared" si="0"/>
        <v>0.77396257746404373</v>
      </c>
      <c r="I21">
        <f t="shared" si="0"/>
        <v>-3.5741540231446574</v>
      </c>
      <c r="J21" s="16">
        <v>1</v>
      </c>
      <c r="K21" s="16">
        <v>3</v>
      </c>
      <c r="L21" s="16">
        <v>3</v>
      </c>
      <c r="M21" s="16">
        <v>0</v>
      </c>
      <c r="N21" s="16">
        <v>0</v>
      </c>
      <c r="O21" s="16">
        <v>37.6</v>
      </c>
      <c r="P21" s="16">
        <v>37.6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28">
        <v>433</v>
      </c>
      <c r="W21" s="24">
        <v>236.7</v>
      </c>
      <c r="X21" s="28">
        <v>86.5</v>
      </c>
      <c r="Y21" s="24">
        <v>0</v>
      </c>
      <c r="Z21" s="28">
        <v>0</v>
      </c>
      <c r="AA21" s="24">
        <v>609</v>
      </c>
      <c r="AB21" s="19">
        <v>1</v>
      </c>
      <c r="AC21" s="19">
        <v>1</v>
      </c>
      <c r="AD21" s="19">
        <v>1</v>
      </c>
      <c r="AE21" s="19">
        <v>0</v>
      </c>
      <c r="AF21" s="19">
        <v>0</v>
      </c>
      <c r="AG21" s="19">
        <v>1</v>
      </c>
      <c r="AH21" s="20">
        <v>1</v>
      </c>
      <c r="AI21" s="19">
        <v>400.66</v>
      </c>
      <c r="AJ21" s="19">
        <v>1</v>
      </c>
      <c r="AK21" s="19">
        <v>321</v>
      </c>
      <c r="AL21" s="2"/>
    </row>
    <row r="22" spans="1:46" ht="15" thickBot="1" x14ac:dyDescent="0.35">
      <c r="A22" s="7" t="s">
        <v>20</v>
      </c>
      <c r="B22" s="34">
        <v>0.27382000000000001</v>
      </c>
      <c r="C22" s="34">
        <v>0.34638000000000002</v>
      </c>
      <c r="D22" s="34">
        <v>2.1631</v>
      </c>
      <c r="E22" s="34">
        <v>0.34608</v>
      </c>
      <c r="F22">
        <f t="shared" si="0"/>
        <v>-1.8687002690109151</v>
      </c>
      <c r="G22">
        <f t="shared" si="0"/>
        <v>-1.5295724637078707</v>
      </c>
      <c r="H22">
        <f t="shared" si="0"/>
        <v>1.1131003625579829</v>
      </c>
      <c r="I22">
        <f t="shared" si="0"/>
        <v>-1.530822524474833</v>
      </c>
      <c r="J22" s="16">
        <v>9</v>
      </c>
      <c r="K22" s="16">
        <v>2</v>
      </c>
      <c r="L22" s="16">
        <v>1</v>
      </c>
      <c r="M22" s="16">
        <v>1</v>
      </c>
      <c r="N22">
        <f>(78+176+135+118+151)/5</f>
        <v>131.6</v>
      </c>
      <c r="O22" s="16">
        <v>35.4</v>
      </c>
      <c r="P22" s="16">
        <v>33.799999999999997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>
        <v>1000</v>
      </c>
      <c r="W22">
        <v>165.6</v>
      </c>
      <c r="X22">
        <v>574</v>
      </c>
      <c r="Y22">
        <v>0</v>
      </c>
      <c r="Z22">
        <v>844</v>
      </c>
      <c r="AA22">
        <v>773</v>
      </c>
      <c r="AB22" s="19">
        <v>1</v>
      </c>
      <c r="AC22" s="19">
        <v>1</v>
      </c>
      <c r="AD22" s="19">
        <v>1</v>
      </c>
      <c r="AE22" s="19">
        <v>0</v>
      </c>
      <c r="AF22" s="19">
        <v>1</v>
      </c>
      <c r="AG22" s="19">
        <v>2</v>
      </c>
      <c r="AH22" s="20">
        <v>1</v>
      </c>
      <c r="AI22" s="19">
        <v>407</v>
      </c>
      <c r="AJ22" s="19">
        <v>1</v>
      </c>
      <c r="AK22" s="19">
        <v>572</v>
      </c>
      <c r="AL22" s="2"/>
    </row>
    <row r="23" spans="1:46" ht="15" thickBot="1" x14ac:dyDescent="0.35">
      <c r="A23" s="7" t="s">
        <v>21</v>
      </c>
      <c r="B23" s="34">
        <v>0.57994000000000001</v>
      </c>
      <c r="C23" s="34">
        <v>0.33482000000000001</v>
      </c>
      <c r="D23" s="34">
        <v>1.93096</v>
      </c>
      <c r="E23" s="34">
        <v>0.28632000000000002</v>
      </c>
      <c r="F23">
        <f t="shared" si="0"/>
        <v>-0.78602444668179317</v>
      </c>
      <c r="G23">
        <f t="shared" si="0"/>
        <v>-1.5785423870736961</v>
      </c>
      <c r="H23">
        <f t="shared" si="0"/>
        <v>0.94931827904809596</v>
      </c>
      <c r="I23">
        <f t="shared" si="0"/>
        <v>-1.8042996460204275</v>
      </c>
      <c r="J23" s="16">
        <v>3</v>
      </c>
      <c r="K23" s="16">
        <v>1</v>
      </c>
      <c r="L23" s="16">
        <v>0</v>
      </c>
      <c r="M23" s="16">
        <v>1</v>
      </c>
      <c r="N23">
        <f>(129+328+203+221+114)/5</f>
        <v>199</v>
      </c>
      <c r="O23" s="16">
        <v>46.5</v>
      </c>
      <c r="P23" s="16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>
        <v>0</v>
      </c>
      <c r="W23">
        <v>834</v>
      </c>
      <c r="X23">
        <v>136.5</v>
      </c>
      <c r="Y23">
        <v>0</v>
      </c>
      <c r="Z23">
        <v>0</v>
      </c>
      <c r="AA23">
        <v>838.5</v>
      </c>
      <c r="AB23" s="19">
        <v>0</v>
      </c>
      <c r="AC23" s="19">
        <v>1</v>
      </c>
      <c r="AD23" s="19">
        <v>1</v>
      </c>
      <c r="AE23" s="19">
        <v>0</v>
      </c>
      <c r="AF23" s="19">
        <v>0</v>
      </c>
      <c r="AG23" s="19">
        <v>1</v>
      </c>
      <c r="AH23" s="19">
        <v>1</v>
      </c>
      <c r="AI23" s="19">
        <v>275.05</v>
      </c>
      <c r="AJ23" s="19">
        <v>1</v>
      </c>
      <c r="AK23" s="19">
        <v>617</v>
      </c>
      <c r="AL23" s="2"/>
    </row>
    <row r="24" spans="1:46" ht="15" thickBot="1" x14ac:dyDescent="0.35">
      <c r="A24" s="7" t="s">
        <v>22</v>
      </c>
      <c r="B24" s="34">
        <v>1.2741</v>
      </c>
      <c r="C24" s="34">
        <v>1.39384</v>
      </c>
      <c r="D24" s="34">
        <v>2.9141599999999999</v>
      </c>
      <c r="E24" s="34">
        <v>0.77144000000000001</v>
      </c>
      <c r="F24">
        <f t="shared" si="0"/>
        <v>0.34947851451910877</v>
      </c>
      <c r="G24">
        <f t="shared" si="0"/>
        <v>0.47906496260182813</v>
      </c>
      <c r="H24">
        <f t="shared" si="0"/>
        <v>1.5430800897804662</v>
      </c>
      <c r="I24">
        <f t="shared" si="0"/>
        <v>-0.37437414167995181</v>
      </c>
      <c r="J24">
        <v>1</v>
      </c>
      <c r="K24">
        <v>1</v>
      </c>
      <c r="L24">
        <v>1</v>
      </c>
      <c r="M24">
        <v>1</v>
      </c>
      <c r="N24">
        <f>(216+79)/5</f>
        <v>59</v>
      </c>
      <c r="O24">
        <v>40.299999999999997</v>
      </c>
      <c r="P24">
        <v>40.299999999999997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>
        <v>619</v>
      </c>
      <c r="W24">
        <v>522</v>
      </c>
      <c r="X24">
        <v>430.5</v>
      </c>
      <c r="Y24">
        <v>774</v>
      </c>
      <c r="Z24">
        <v>0</v>
      </c>
      <c r="AA24">
        <v>822.5</v>
      </c>
      <c r="AB24">
        <v>2</v>
      </c>
      <c r="AC24">
        <v>1</v>
      </c>
      <c r="AD24">
        <v>1</v>
      </c>
      <c r="AE24">
        <v>2</v>
      </c>
      <c r="AF24">
        <v>0</v>
      </c>
      <c r="AG24">
        <v>2</v>
      </c>
      <c r="AH24">
        <v>1</v>
      </c>
      <c r="AI24">
        <v>917.27</v>
      </c>
      <c r="AJ24">
        <v>1</v>
      </c>
      <c r="AK24">
        <v>990</v>
      </c>
      <c r="AL24" s="2"/>
    </row>
    <row r="25" spans="1:46" ht="27.6" thickBot="1" x14ac:dyDescent="0.35">
      <c r="A25" s="7" t="s">
        <v>23</v>
      </c>
      <c r="B25" s="34">
        <v>1.0396300000000001</v>
      </c>
      <c r="C25" s="33">
        <v>0.14974999999999999</v>
      </c>
      <c r="D25" s="36">
        <v>4.0543199999999997</v>
      </c>
      <c r="E25" s="34">
        <v>2.5902699999999999</v>
      </c>
      <c r="F25">
        <f t="shared" si="0"/>
        <v>5.6070170537560284E-2</v>
      </c>
      <c r="G25">
        <f t="shared" si="0"/>
        <v>-2.7393720918733013</v>
      </c>
      <c r="H25">
        <f t="shared" si="0"/>
        <v>2.0194599625575309</v>
      </c>
      <c r="I25">
        <f t="shared" si="0"/>
        <v>1.3731024868534838</v>
      </c>
      <c r="J25">
        <v>5</v>
      </c>
      <c r="K25">
        <v>1</v>
      </c>
      <c r="L25">
        <v>0</v>
      </c>
      <c r="M25">
        <v>1</v>
      </c>
      <c r="N25">
        <f>(84+75+69+67)/5</f>
        <v>59</v>
      </c>
      <c r="O25">
        <v>46.5</v>
      </c>
      <c r="P25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>
        <v>1000</v>
      </c>
      <c r="W25">
        <v>461</v>
      </c>
      <c r="X25">
        <v>1000</v>
      </c>
      <c r="Y25">
        <v>1000</v>
      </c>
      <c r="Z25">
        <v>0</v>
      </c>
      <c r="AA25">
        <v>706</v>
      </c>
      <c r="AB25">
        <v>1</v>
      </c>
      <c r="AC25">
        <v>1</v>
      </c>
      <c r="AD25">
        <v>3</v>
      </c>
      <c r="AE25">
        <v>1</v>
      </c>
      <c r="AF25">
        <v>0</v>
      </c>
      <c r="AG25">
        <v>1</v>
      </c>
      <c r="AH25">
        <v>1</v>
      </c>
      <c r="AI25">
        <v>245.57</v>
      </c>
      <c r="AJ25">
        <v>1</v>
      </c>
      <c r="AK25">
        <v>869</v>
      </c>
      <c r="AL25" s="2"/>
    </row>
    <row r="26" spans="1:46" ht="15" thickBot="1" x14ac:dyDescent="0.35">
      <c r="A26" s="7" t="s">
        <v>24</v>
      </c>
      <c r="B26" s="34">
        <v>0.35072999999999999</v>
      </c>
      <c r="C26" s="34">
        <v>0.26035000000000003</v>
      </c>
      <c r="D26" s="34">
        <v>3.0679099999999999</v>
      </c>
      <c r="E26" s="34">
        <v>0.49578</v>
      </c>
      <c r="F26">
        <f t="shared" si="0"/>
        <v>-1.5115672568254621</v>
      </c>
      <c r="G26">
        <f t="shared" si="0"/>
        <v>-1.9414756881591999</v>
      </c>
      <c r="H26">
        <f t="shared" si="0"/>
        <v>1.6172561606576041</v>
      </c>
      <c r="I26">
        <f t="shared" si="0"/>
        <v>-1.0122280212900767</v>
      </c>
      <c r="J26">
        <v>21</v>
      </c>
      <c r="K26">
        <v>9</v>
      </c>
      <c r="L26">
        <v>4</v>
      </c>
      <c r="M26">
        <v>4</v>
      </c>
      <c r="N26">
        <f>(162+179+290+164+234)/5</f>
        <v>205.8</v>
      </c>
      <c r="O26">
        <v>52.6</v>
      </c>
      <c r="P26">
        <v>52.6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>
        <v>607</v>
      </c>
      <c r="W26">
        <v>289</v>
      </c>
      <c r="X26">
        <v>439</v>
      </c>
      <c r="Y26">
        <v>951</v>
      </c>
      <c r="Z26">
        <v>0</v>
      </c>
      <c r="AA26">
        <v>818.5</v>
      </c>
      <c r="AB26">
        <v>2</v>
      </c>
      <c r="AC26">
        <v>3</v>
      </c>
      <c r="AD26">
        <v>5</v>
      </c>
      <c r="AE26">
        <v>2</v>
      </c>
      <c r="AF26">
        <v>0</v>
      </c>
      <c r="AG26">
        <v>5</v>
      </c>
      <c r="AH26">
        <v>3</v>
      </c>
      <c r="AI26">
        <v>483.65</v>
      </c>
      <c r="AJ26">
        <v>3</v>
      </c>
      <c r="AK26">
        <v>711</v>
      </c>
      <c r="AL26" s="2"/>
    </row>
    <row r="27" spans="1:46" ht="15" thickBot="1" x14ac:dyDescent="0.35">
      <c r="A27" s="7" t="s">
        <v>25</v>
      </c>
      <c r="B27" s="34">
        <v>0.39623999999999998</v>
      </c>
      <c r="C27" s="33">
        <v>1.0399999999999999E-3</v>
      </c>
      <c r="D27" s="34">
        <v>3.7854800000000002</v>
      </c>
      <c r="E27" s="34">
        <v>0.35763</v>
      </c>
      <c r="F27">
        <f t="shared" si="0"/>
        <v>-1.3355535688023976</v>
      </c>
      <c r="G27">
        <f t="shared" si="0"/>
        <v>-9.9092007562957196</v>
      </c>
      <c r="H27">
        <f t="shared" si="0"/>
        <v>1.92047624597417</v>
      </c>
      <c r="I27">
        <f t="shared" si="0"/>
        <v>-1.4834603319795092</v>
      </c>
      <c r="J27">
        <v>3</v>
      </c>
      <c r="K27">
        <v>2</v>
      </c>
      <c r="L27">
        <v>2</v>
      </c>
      <c r="M27">
        <v>1</v>
      </c>
      <c r="N27">
        <f>(223+258+235+208+159)/5</f>
        <v>216.6</v>
      </c>
      <c r="O27">
        <v>40.6</v>
      </c>
      <c r="P27">
        <v>40.6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>
        <v>55</v>
      </c>
      <c r="W27">
        <v>873</v>
      </c>
      <c r="X27">
        <v>102</v>
      </c>
      <c r="Y27">
        <v>430.5</v>
      </c>
      <c r="Z27">
        <v>0</v>
      </c>
      <c r="AA27">
        <v>1000</v>
      </c>
      <c r="AB27">
        <v>2</v>
      </c>
      <c r="AC27">
        <v>2</v>
      </c>
      <c r="AD27">
        <v>1</v>
      </c>
      <c r="AE27">
        <v>2</v>
      </c>
      <c r="AF27">
        <v>0</v>
      </c>
      <c r="AG27">
        <v>3</v>
      </c>
      <c r="AH27">
        <v>1</v>
      </c>
      <c r="AI27">
        <v>3062.44</v>
      </c>
      <c r="AJ27">
        <v>1</v>
      </c>
      <c r="AK27">
        <v>1000</v>
      </c>
      <c r="AL27" s="2"/>
    </row>
    <row r="28" spans="1:46" ht="15" thickBot="1" x14ac:dyDescent="0.35">
      <c r="A28" s="7" t="s">
        <v>26</v>
      </c>
      <c r="B28" s="34">
        <v>0.48934</v>
      </c>
      <c r="C28" s="33">
        <v>7.671E-2</v>
      </c>
      <c r="D28" s="34">
        <v>2.3327200000000001</v>
      </c>
      <c r="E28" s="33">
        <v>0.12717999999999999</v>
      </c>
      <c r="F28">
        <f t="shared" si="0"/>
        <v>-1.031090877428132</v>
      </c>
      <c r="G28">
        <f t="shared" si="0"/>
        <v>-3.7044415284740073</v>
      </c>
      <c r="H28">
        <f t="shared" si="0"/>
        <v>1.2220131487905528</v>
      </c>
      <c r="I28">
        <f t="shared" si="0"/>
        <v>-2.9750562809431131</v>
      </c>
      <c r="J28">
        <v>16</v>
      </c>
      <c r="K28">
        <v>9</v>
      </c>
      <c r="L28">
        <v>3</v>
      </c>
      <c r="M28">
        <v>2</v>
      </c>
      <c r="N28">
        <f>(262+213+286+182+148)/5</f>
        <v>218.2</v>
      </c>
      <c r="O28">
        <v>50.5</v>
      </c>
      <c r="P28">
        <v>50.5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>
        <v>291</v>
      </c>
      <c r="W28">
        <v>357</v>
      </c>
      <c r="X28">
        <v>793</v>
      </c>
      <c r="Y28">
        <v>1000</v>
      </c>
      <c r="Z28">
        <v>85</v>
      </c>
      <c r="AA28">
        <v>1000</v>
      </c>
      <c r="AB28">
        <v>2</v>
      </c>
      <c r="AC28">
        <v>2</v>
      </c>
      <c r="AD28">
        <v>2</v>
      </c>
      <c r="AE28">
        <v>3</v>
      </c>
      <c r="AF28">
        <v>2</v>
      </c>
      <c r="AG28">
        <v>2</v>
      </c>
      <c r="AH28">
        <v>2</v>
      </c>
      <c r="AI28">
        <v>1139.82</v>
      </c>
      <c r="AJ28">
        <v>1</v>
      </c>
      <c r="AK28">
        <v>653</v>
      </c>
      <c r="AL28" s="2"/>
    </row>
    <row r="29" spans="1:46" ht="15" thickBot="1" x14ac:dyDescent="0.35">
      <c r="A29" s="7" t="s">
        <v>27</v>
      </c>
      <c r="B29" s="33">
        <v>3.4000000000000002E-2</v>
      </c>
      <c r="C29" s="33">
        <v>2.4299999999999999E-3</v>
      </c>
      <c r="D29" s="36">
        <v>6.3758400000000002</v>
      </c>
      <c r="E29" s="33">
        <v>0.21024000000000001</v>
      </c>
      <c r="F29">
        <f t="shared" si="0"/>
        <v>-4.8783214434117479</v>
      </c>
      <c r="G29">
        <f t="shared" si="0"/>
        <v>-8.6848279708310319</v>
      </c>
      <c r="H29">
        <f t="shared" si="0"/>
        <v>2.6726154257363457</v>
      </c>
      <c r="I29">
        <f t="shared" si="0"/>
        <v>-2.2498909141144821</v>
      </c>
      <c r="J29">
        <v>10</v>
      </c>
      <c r="K29">
        <v>3</v>
      </c>
      <c r="L29">
        <v>3</v>
      </c>
      <c r="M29">
        <v>0</v>
      </c>
      <c r="N29">
        <v>0</v>
      </c>
      <c r="O29">
        <v>45.9</v>
      </c>
      <c r="P29">
        <v>45.9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432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61.87</v>
      </c>
      <c r="AJ29">
        <v>0</v>
      </c>
      <c r="AK29">
        <v>0</v>
      </c>
      <c r="AL29" s="2"/>
    </row>
    <row r="30" spans="1:46" ht="15" thickBot="1" x14ac:dyDescent="0.35">
      <c r="H30" s="2"/>
      <c r="Q30" s="9"/>
      <c r="R30" s="9"/>
      <c r="S30" s="9"/>
      <c r="T30" s="9"/>
      <c r="U30" s="9"/>
      <c r="V30" s="9"/>
      <c r="W30" s="9"/>
      <c r="X30" s="10"/>
      <c r="Y30" s="10"/>
      <c r="Z30" s="10"/>
      <c r="AA30" s="10"/>
      <c r="AB30" s="10"/>
      <c r="AC30" s="11"/>
      <c r="AD30" s="11"/>
      <c r="AE30" s="11"/>
      <c r="AF30" s="11"/>
      <c r="AG30" s="11"/>
      <c r="AH30" s="11"/>
      <c r="AI30" s="12"/>
      <c r="AJ30" s="12"/>
      <c r="AK30" s="12"/>
      <c r="AL30" s="12"/>
      <c r="AM30" s="12"/>
      <c r="AN30" s="12"/>
      <c r="AO30" s="12"/>
      <c r="AP30" s="13"/>
      <c r="AQ30" s="15"/>
      <c r="AR30" s="14"/>
      <c r="AS30" s="2"/>
    </row>
    <row r="31" spans="1:46" ht="15" thickBot="1" x14ac:dyDescent="0.35">
      <c r="H31" s="2"/>
      <c r="AS31" s="2"/>
    </row>
    <row r="54" spans="12:16" ht="15" thickBot="1" x14ac:dyDescent="0.35"/>
    <row r="55" spans="12:16" ht="15" thickBot="1" x14ac:dyDescent="0.35">
      <c r="L55" s="37"/>
    </row>
    <row r="56" spans="12:16" ht="15" thickBot="1" x14ac:dyDescent="0.35">
      <c r="L56" s="38"/>
    </row>
    <row r="57" spans="12:16" ht="15" thickBot="1" x14ac:dyDescent="0.35">
      <c r="L57" s="39"/>
    </row>
    <row r="58" spans="12:16" ht="15" thickBot="1" x14ac:dyDescent="0.35">
      <c r="L58" s="39"/>
    </row>
    <row r="59" spans="12:16" ht="15" thickBot="1" x14ac:dyDescent="0.35">
      <c r="L59" s="39"/>
    </row>
    <row r="60" spans="12:16" ht="15" thickBot="1" x14ac:dyDescent="0.35">
      <c r="L60" s="38"/>
    </row>
    <row r="61" spans="12:16" ht="15" thickBot="1" x14ac:dyDescent="0.35">
      <c r="L61" s="39"/>
      <c r="M61" s="34"/>
      <c r="N61" s="34"/>
      <c r="O61" s="34"/>
      <c r="P61" s="34"/>
    </row>
    <row r="62" spans="12:16" ht="15" thickBot="1" x14ac:dyDescent="0.35">
      <c r="L62" s="39"/>
      <c r="M62" s="34"/>
      <c r="N62" s="34"/>
      <c r="O62" s="34"/>
      <c r="P62" s="34"/>
    </row>
    <row r="63" spans="12:16" ht="15" thickBot="1" x14ac:dyDescent="0.35">
      <c r="L63" s="39"/>
    </row>
    <row r="64" spans="12:16" ht="15" thickBot="1" x14ac:dyDescent="0.35">
      <c r="L64" s="38"/>
    </row>
    <row r="65" spans="12:12" ht="15" thickBot="1" x14ac:dyDescent="0.35">
      <c r="L65" s="39"/>
    </row>
    <row r="66" spans="12:12" ht="15" thickBot="1" x14ac:dyDescent="0.35">
      <c r="L66" s="39"/>
    </row>
    <row r="67" spans="12:12" ht="15" thickBot="1" x14ac:dyDescent="0.35">
      <c r="L67" s="38"/>
    </row>
    <row r="68" spans="12:12" ht="15" thickBot="1" x14ac:dyDescent="0.35">
      <c r="L68" s="39"/>
    </row>
    <row r="69" spans="12:12" ht="15" thickBot="1" x14ac:dyDescent="0.35">
      <c r="L69" s="39"/>
    </row>
    <row r="70" spans="12:12" ht="15" thickBot="1" x14ac:dyDescent="0.35">
      <c r="L70" s="39"/>
    </row>
  </sheetData>
  <conditionalFormatting sqref="F2:I29">
    <cfRule type="colorScale" priority="1">
      <colorScale>
        <cfvo type="min"/>
        <cfvo type="num" val="0"/>
        <cfvo type="max"/>
        <color rgb="FF0070C0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"/>
  <sheetViews>
    <sheetView workbookViewId="0">
      <selection sqref="A1:AK1"/>
    </sheetView>
  </sheetViews>
  <sheetFormatPr defaultRowHeight="14.4" x14ac:dyDescent="0.3"/>
  <sheetData>
    <row r="1" spans="1:37" ht="54" thickBot="1" x14ac:dyDescent="0.35">
      <c r="A1" t="s">
        <v>87</v>
      </c>
      <c r="B1" t="s">
        <v>34</v>
      </c>
      <c r="C1" t="s">
        <v>35</v>
      </c>
      <c r="D1" t="s">
        <v>36</v>
      </c>
      <c r="E1" t="s">
        <v>37</v>
      </c>
      <c r="F1" t="s">
        <v>89</v>
      </c>
      <c r="G1" t="s">
        <v>90</v>
      </c>
      <c r="H1" t="s">
        <v>91</v>
      </c>
      <c r="I1" t="s">
        <v>92</v>
      </c>
      <c r="J1" s="9" t="s">
        <v>109</v>
      </c>
      <c r="K1" s="9" t="s">
        <v>110</v>
      </c>
      <c r="L1" s="9" t="s">
        <v>44</v>
      </c>
      <c r="M1" s="9" t="s">
        <v>108</v>
      </c>
      <c r="N1" s="9" t="s">
        <v>107</v>
      </c>
      <c r="O1" s="9" t="s">
        <v>111</v>
      </c>
      <c r="P1" s="9" t="s">
        <v>46</v>
      </c>
      <c r="Q1" s="10" t="s">
        <v>47</v>
      </c>
      <c r="R1" s="10" t="s">
        <v>48</v>
      </c>
      <c r="S1" s="10" t="s">
        <v>49</v>
      </c>
      <c r="T1" s="10" t="s">
        <v>50</v>
      </c>
      <c r="U1" s="10" t="s">
        <v>112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2" t="s">
        <v>99</v>
      </c>
      <c r="AC1" s="12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2" t="s">
        <v>59</v>
      </c>
      <c r="AI1" s="13" t="s">
        <v>60</v>
      </c>
      <c r="AJ1" s="15" t="s">
        <v>105</v>
      </c>
      <c r="AK1" s="14" t="s">
        <v>106</v>
      </c>
    </row>
    <row r="2" spans="1:37" ht="15" thickBot="1" x14ac:dyDescent="0.35">
      <c r="A2" s="2" t="s">
        <v>0</v>
      </c>
      <c r="B2" s="32">
        <v>0.37524000000000002</v>
      </c>
      <c r="C2" s="32">
        <v>0.33511999999999997</v>
      </c>
      <c r="D2" s="32">
        <v>0.84943000000000002</v>
      </c>
      <c r="E2" s="32">
        <v>0.48431999999999997</v>
      </c>
      <c r="F2">
        <f t="shared" ref="F2:I20" si="0">LOG((B2),2)</f>
        <v>-1.4141144697906152</v>
      </c>
      <c r="G2">
        <f t="shared" si="0"/>
        <v>-1.5772503055702887</v>
      </c>
      <c r="H2">
        <f t="shared" si="0"/>
        <v>-0.23543303248539402</v>
      </c>
      <c r="I2">
        <f t="shared" si="0"/>
        <v>-1.0459675146092984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7">
        <v>57</v>
      </c>
      <c r="R2" s="17">
        <v>3</v>
      </c>
      <c r="S2" s="17">
        <v>0.82</v>
      </c>
      <c r="T2" s="17">
        <v>0.04</v>
      </c>
      <c r="U2" s="17">
        <v>56</v>
      </c>
      <c r="V2" s="18">
        <f>(243+518)/2</f>
        <v>380.5</v>
      </c>
      <c r="W2" s="18">
        <f>(2657+179+219)/7</f>
        <v>436.42857142857144</v>
      </c>
      <c r="X2" s="18">
        <v>0</v>
      </c>
      <c r="Y2" s="18">
        <f>(463+288+337+238+390+446)/6</f>
        <v>360.33333333333331</v>
      </c>
      <c r="Z2" s="18">
        <v>0</v>
      </c>
      <c r="AA2" s="18">
        <f>1254/2</f>
        <v>627</v>
      </c>
      <c r="AB2" s="19">
        <v>1</v>
      </c>
      <c r="AC2" s="19">
        <v>0</v>
      </c>
      <c r="AD2" s="19">
        <v>1</v>
      </c>
      <c r="AE2" s="19">
        <v>1</v>
      </c>
      <c r="AF2" s="19">
        <v>0</v>
      </c>
      <c r="AG2" s="19">
        <v>1</v>
      </c>
      <c r="AH2" s="19">
        <v>1</v>
      </c>
      <c r="AI2" s="19">
        <v>57.26</v>
      </c>
      <c r="AJ2" s="19">
        <v>1</v>
      </c>
      <c r="AK2" s="19">
        <v>464</v>
      </c>
    </row>
    <row r="3" spans="1:37" ht="15" thickBot="1" x14ac:dyDescent="0.35">
      <c r="A3" s="2" t="s">
        <v>1</v>
      </c>
      <c r="B3" s="32">
        <v>0.98758999999999997</v>
      </c>
      <c r="C3" s="32">
        <v>0.32636999999999999</v>
      </c>
      <c r="D3" s="35">
        <v>4.4477099999999998</v>
      </c>
      <c r="E3" s="32">
        <v>0.26436999999999999</v>
      </c>
      <c r="F3">
        <f t="shared" si="0"/>
        <v>-1.8015866571359597E-2</v>
      </c>
      <c r="G3">
        <f t="shared" si="0"/>
        <v>-1.6154196443192477</v>
      </c>
      <c r="H3">
        <f t="shared" si="0"/>
        <v>2.1530627243920772</v>
      </c>
      <c r="I3">
        <f t="shared" si="0"/>
        <v>-1.9193696219253864</v>
      </c>
      <c r="J3" s="16">
        <v>11</v>
      </c>
      <c r="K3" s="16">
        <v>8</v>
      </c>
      <c r="L3" s="16">
        <v>4</v>
      </c>
      <c r="M3" s="16">
        <v>2</v>
      </c>
      <c r="N3" s="16">
        <v>137.6</v>
      </c>
      <c r="O3" s="16">
        <v>53.8</v>
      </c>
      <c r="P3" s="16">
        <v>53.8</v>
      </c>
      <c r="Q3" s="17">
        <v>57</v>
      </c>
      <c r="R3" s="17">
        <v>3</v>
      </c>
      <c r="S3" s="17">
        <v>0.82</v>
      </c>
      <c r="T3" s="17">
        <v>0.04</v>
      </c>
      <c r="U3" s="17">
        <v>56</v>
      </c>
      <c r="V3" s="18">
        <v>1000</v>
      </c>
      <c r="W3" s="18">
        <f>(807+559+954+758+649+689+617)/7</f>
        <v>719</v>
      </c>
      <c r="X3" s="18">
        <f>384/2</f>
        <v>192</v>
      </c>
      <c r="Y3" s="18">
        <v>0</v>
      </c>
      <c r="Z3" s="18">
        <f>2423/3</f>
        <v>807.66666666666663</v>
      </c>
      <c r="AA3" s="18">
        <f>1423/2</f>
        <v>711.5</v>
      </c>
      <c r="AB3" s="19">
        <v>2</v>
      </c>
      <c r="AC3" s="19">
        <v>2</v>
      </c>
      <c r="AD3" s="19">
        <v>2</v>
      </c>
      <c r="AE3" s="19">
        <v>0</v>
      </c>
      <c r="AF3" s="19">
        <v>1</v>
      </c>
      <c r="AG3" s="19">
        <v>1</v>
      </c>
      <c r="AH3" s="19">
        <v>1</v>
      </c>
      <c r="AI3" s="19">
        <v>1200.3699999999999</v>
      </c>
      <c r="AJ3" s="19">
        <v>1</v>
      </c>
      <c r="AK3" s="19">
        <v>1000</v>
      </c>
    </row>
    <row r="4" spans="1:37" ht="15" thickBot="1" x14ac:dyDescent="0.35">
      <c r="A4" s="2" t="s">
        <v>2</v>
      </c>
      <c r="B4" s="34">
        <v>0.61695</v>
      </c>
      <c r="C4" s="34">
        <v>0.72816000000000003</v>
      </c>
      <c r="D4" s="34">
        <v>1.5641499999999999</v>
      </c>
      <c r="E4" s="34">
        <v>0.61639999999999995</v>
      </c>
      <c r="F4">
        <f t="shared" si="0"/>
        <v>-0.69677452232791115</v>
      </c>
      <c r="G4">
        <f t="shared" si="0"/>
        <v>-0.4576726034686221</v>
      </c>
      <c r="H4">
        <f t="shared" si="0"/>
        <v>0.64537887190316479</v>
      </c>
      <c r="I4">
        <f t="shared" si="0"/>
        <v>-0.69806123303466427</v>
      </c>
      <c r="J4" s="16">
        <v>11</v>
      </c>
      <c r="K4" s="16">
        <v>3</v>
      </c>
      <c r="L4" s="16">
        <v>2</v>
      </c>
      <c r="M4" s="16">
        <v>1</v>
      </c>
      <c r="N4" s="16">
        <v>133.4</v>
      </c>
      <c r="O4" s="16">
        <v>53.7</v>
      </c>
      <c r="P4" s="16">
        <v>53.7</v>
      </c>
      <c r="Q4" s="17">
        <v>26</v>
      </c>
      <c r="R4" s="17">
        <v>10</v>
      </c>
      <c r="S4" s="17">
        <v>0.41</v>
      </c>
      <c r="T4" s="17">
        <v>0.16</v>
      </c>
      <c r="U4" s="22">
        <v>80</v>
      </c>
      <c r="V4" s="18">
        <v>0</v>
      </c>
      <c r="W4" s="18">
        <f>(347+435+604+345+401+460)/7</f>
        <v>370.28571428571428</v>
      </c>
      <c r="X4" s="18">
        <f>115/2</f>
        <v>57.5</v>
      </c>
      <c r="Y4" s="18">
        <v>0</v>
      </c>
      <c r="Z4" s="18">
        <v>0</v>
      </c>
      <c r="AA4" s="18">
        <f>1847/2</f>
        <v>923.5</v>
      </c>
      <c r="AB4" s="19">
        <v>0</v>
      </c>
      <c r="AC4" s="19">
        <v>1</v>
      </c>
      <c r="AD4" s="19">
        <v>1</v>
      </c>
      <c r="AE4" s="19">
        <v>0</v>
      </c>
      <c r="AF4" s="19">
        <v>0</v>
      </c>
      <c r="AG4" s="19">
        <v>2</v>
      </c>
      <c r="AH4" s="20">
        <v>1</v>
      </c>
      <c r="AI4" s="19">
        <v>122.27</v>
      </c>
      <c r="AJ4" s="19">
        <v>1</v>
      </c>
      <c r="AK4" s="19">
        <v>500</v>
      </c>
    </row>
    <row r="5" spans="1:37" ht="15" thickBot="1" x14ac:dyDescent="0.35">
      <c r="A5" s="2" t="s">
        <v>3</v>
      </c>
      <c r="B5" s="34">
        <v>1.38032</v>
      </c>
      <c r="C5" s="33">
        <v>1.2999999999999999E-3</v>
      </c>
      <c r="D5" s="34">
        <v>2.4302299999999999</v>
      </c>
      <c r="E5" s="34">
        <v>0.29574</v>
      </c>
      <c r="F5">
        <f t="shared" si="0"/>
        <v>0.46500276620292308</v>
      </c>
      <c r="G5">
        <f t="shared" si="0"/>
        <v>-9.5872726614083579</v>
      </c>
      <c r="H5">
        <f t="shared" si="0"/>
        <v>1.2810928587516266</v>
      </c>
      <c r="I5">
        <f t="shared" si="0"/>
        <v>-1.7575987080444251</v>
      </c>
      <c r="J5" s="16">
        <v>12</v>
      </c>
      <c r="K5" s="16">
        <v>3</v>
      </c>
      <c r="L5" s="16">
        <v>1</v>
      </c>
      <c r="M5" s="16">
        <v>1</v>
      </c>
      <c r="N5" s="16">
        <f>185/5</f>
        <v>37</v>
      </c>
      <c r="O5" s="16">
        <v>45.4</v>
      </c>
      <c r="P5" s="16">
        <v>41.6</v>
      </c>
      <c r="Q5" s="17">
        <v>26</v>
      </c>
      <c r="R5" s="17">
        <v>10</v>
      </c>
      <c r="S5" s="17">
        <v>0.41</v>
      </c>
      <c r="T5" s="17">
        <v>0.16</v>
      </c>
      <c r="U5" s="22">
        <v>80</v>
      </c>
      <c r="V5" s="21">
        <v>0</v>
      </c>
      <c r="W5" s="18">
        <f>(376+411+576+438+414+370)/7</f>
        <v>369.28571428571428</v>
      </c>
      <c r="X5" s="18">
        <f>1333/2</f>
        <v>666.5</v>
      </c>
      <c r="Y5" s="18">
        <v>0</v>
      </c>
      <c r="Z5" s="18">
        <v>80</v>
      </c>
      <c r="AA5" s="18">
        <f>1791/2</f>
        <v>895.5</v>
      </c>
      <c r="AB5" s="19">
        <v>0</v>
      </c>
      <c r="AC5" s="19">
        <v>2</v>
      </c>
      <c r="AD5" s="19">
        <v>3</v>
      </c>
      <c r="AE5" s="19">
        <v>2</v>
      </c>
      <c r="AF5" s="19">
        <v>2</v>
      </c>
      <c r="AG5" s="19">
        <v>3</v>
      </c>
      <c r="AH5" s="20">
        <v>1</v>
      </c>
      <c r="AI5" s="19">
        <v>493</v>
      </c>
      <c r="AJ5" s="19">
        <v>3</v>
      </c>
      <c r="AK5" s="19">
        <v>1000</v>
      </c>
    </row>
    <row r="6" spans="1:37" ht="15" thickBot="1" x14ac:dyDescent="0.35">
      <c r="A6" s="2" t="s">
        <v>4</v>
      </c>
      <c r="B6" s="34">
        <v>0.38795000000000002</v>
      </c>
      <c r="C6" s="34">
        <v>0.35116999999999998</v>
      </c>
      <c r="D6" s="34">
        <v>1.6798599999999999</v>
      </c>
      <c r="E6" s="34">
        <v>0.48864000000000002</v>
      </c>
      <c r="F6">
        <f t="shared" si="0"/>
        <v>-1.3660573687643962</v>
      </c>
      <c r="G6">
        <f t="shared" si="0"/>
        <v>-1.5097584923258442</v>
      </c>
      <c r="H6">
        <f t="shared" si="0"/>
        <v>0.74834100340765874</v>
      </c>
      <c r="I6">
        <f t="shared" si="0"/>
        <v>-1.0331561276399601</v>
      </c>
      <c r="J6" s="16">
        <v>2</v>
      </c>
      <c r="K6" s="16">
        <v>3</v>
      </c>
      <c r="L6" s="16">
        <v>0</v>
      </c>
      <c r="M6" s="16">
        <v>1</v>
      </c>
      <c r="N6" s="16">
        <v>51</v>
      </c>
      <c r="O6" s="16">
        <v>55.8</v>
      </c>
      <c r="P6" s="16">
        <v>0</v>
      </c>
      <c r="Q6" s="17">
        <v>26</v>
      </c>
      <c r="R6" s="17">
        <v>10</v>
      </c>
      <c r="S6" s="17">
        <v>0.41</v>
      </c>
      <c r="T6" s="17">
        <v>0.16</v>
      </c>
      <c r="U6" s="22">
        <v>80</v>
      </c>
      <c r="V6" s="18">
        <v>94.5</v>
      </c>
      <c r="W6" s="18">
        <f>(210+251+177+199)/7</f>
        <v>119.57142857142857</v>
      </c>
      <c r="X6" s="18">
        <f>(371+117)/2</f>
        <v>244</v>
      </c>
      <c r="Y6" s="18">
        <f>(129+143)/6</f>
        <v>45.333333333333336</v>
      </c>
      <c r="Z6" s="18">
        <v>0</v>
      </c>
      <c r="AA6" s="18">
        <v>650</v>
      </c>
      <c r="AB6" s="19">
        <v>1</v>
      </c>
      <c r="AC6" s="19">
        <v>1</v>
      </c>
      <c r="AD6" s="19">
        <v>1</v>
      </c>
      <c r="AE6" s="19">
        <v>0</v>
      </c>
      <c r="AF6" s="19">
        <v>0</v>
      </c>
      <c r="AG6" s="19">
        <v>2</v>
      </c>
      <c r="AH6" s="20">
        <v>2</v>
      </c>
      <c r="AI6" s="19">
        <v>609.86</v>
      </c>
      <c r="AJ6" s="19">
        <v>2</v>
      </c>
      <c r="AK6" s="19">
        <v>781</v>
      </c>
    </row>
    <row r="7" spans="1:37" ht="15" thickBot="1" x14ac:dyDescent="0.35">
      <c r="A7" s="2" t="s">
        <v>5</v>
      </c>
      <c r="B7" s="33">
        <v>0.18389</v>
      </c>
      <c r="C7" s="33">
        <v>0.15010999999999999</v>
      </c>
      <c r="D7" s="34">
        <v>3.6331799999999999</v>
      </c>
      <c r="E7" s="33">
        <v>0.17027999999999999</v>
      </c>
      <c r="F7">
        <f t="shared" si="0"/>
        <v>-2.4430850672455762</v>
      </c>
      <c r="G7">
        <f t="shared" si="0"/>
        <v>-2.7359080055380063</v>
      </c>
      <c r="H7">
        <f t="shared" si="0"/>
        <v>1.861232843505783</v>
      </c>
      <c r="I7">
        <f t="shared" si="0"/>
        <v>-2.5540190996551044</v>
      </c>
      <c r="J7" s="16">
        <v>3</v>
      </c>
      <c r="K7" s="16">
        <v>1</v>
      </c>
      <c r="L7" s="16">
        <v>0</v>
      </c>
      <c r="M7" s="16">
        <v>1</v>
      </c>
      <c r="N7" s="16">
        <v>101</v>
      </c>
      <c r="O7" s="16">
        <v>46.3</v>
      </c>
      <c r="P7" s="16">
        <v>0</v>
      </c>
      <c r="Q7" s="17">
        <v>26</v>
      </c>
      <c r="R7" s="17">
        <v>10</v>
      </c>
      <c r="S7" s="17">
        <v>0.41</v>
      </c>
      <c r="T7" s="17">
        <v>0.16</v>
      </c>
      <c r="U7" s="22">
        <v>80</v>
      </c>
      <c r="V7" s="18">
        <f>(465+862)/2</f>
        <v>663.5</v>
      </c>
      <c r="W7" s="18">
        <f>(277+599+538+669+379+286)/7</f>
        <v>392.57142857142856</v>
      </c>
      <c r="X7" s="18">
        <f>212/2</f>
        <v>106</v>
      </c>
      <c r="Y7" s="18">
        <v>0</v>
      </c>
      <c r="Z7" s="18">
        <f>2659/3</f>
        <v>886.33333333333337</v>
      </c>
      <c r="AA7" s="18">
        <v>500</v>
      </c>
      <c r="AB7" s="19">
        <v>1</v>
      </c>
      <c r="AC7" s="19">
        <v>1</v>
      </c>
      <c r="AD7" s="19">
        <v>0</v>
      </c>
      <c r="AE7" s="19">
        <v>0</v>
      </c>
      <c r="AF7" s="19">
        <v>1</v>
      </c>
      <c r="AG7" s="19">
        <v>1</v>
      </c>
      <c r="AH7" s="20">
        <v>1</v>
      </c>
      <c r="AI7" s="19">
        <v>436.48</v>
      </c>
      <c r="AJ7" s="19">
        <v>2</v>
      </c>
      <c r="AK7" s="19">
        <v>1000</v>
      </c>
    </row>
    <row r="8" spans="1:37" ht="15" thickBot="1" x14ac:dyDescent="0.35">
      <c r="A8" s="2" t="s">
        <v>6</v>
      </c>
      <c r="B8" s="34">
        <v>0.55620000000000003</v>
      </c>
      <c r="C8" s="33">
        <v>4.836E-2</v>
      </c>
      <c r="D8" s="34">
        <v>3.8695900000000001</v>
      </c>
      <c r="E8" s="33">
        <v>0.16667000000000001</v>
      </c>
      <c r="F8">
        <f t="shared" si="0"/>
        <v>-0.84632435020276242</v>
      </c>
      <c r="G8">
        <f t="shared" si="0"/>
        <v>-4.3700419451876886</v>
      </c>
      <c r="H8">
        <f t="shared" si="0"/>
        <v>1.9521807146120813</v>
      </c>
      <c r="I8">
        <f t="shared" si="0"/>
        <v>-2.5849336471088735</v>
      </c>
      <c r="J8" s="16">
        <v>18</v>
      </c>
      <c r="K8" s="16">
        <v>6</v>
      </c>
      <c r="L8" s="16">
        <v>3</v>
      </c>
      <c r="M8" s="16">
        <v>1</v>
      </c>
      <c r="N8" s="16">
        <v>173.8</v>
      </c>
      <c r="O8" s="16">
        <v>54</v>
      </c>
      <c r="P8" s="16">
        <v>54</v>
      </c>
      <c r="Q8" s="17">
        <v>32</v>
      </c>
      <c r="R8" s="17">
        <v>7</v>
      </c>
      <c r="S8" s="17">
        <v>1.1200000000000001</v>
      </c>
      <c r="T8" s="17">
        <v>0.25</v>
      </c>
      <c r="U8" s="17">
        <v>94</v>
      </c>
      <c r="V8" s="18">
        <v>1000</v>
      </c>
      <c r="W8" s="18">
        <f>(195+335+343+391+370)/7</f>
        <v>233.42857142857142</v>
      </c>
      <c r="X8" s="18">
        <f>(491+137)/2</f>
        <v>314</v>
      </c>
      <c r="Y8" s="18">
        <f>(277+201+367+144+412+370)/6</f>
        <v>295.16666666666669</v>
      </c>
      <c r="Z8" s="18">
        <f>370*2/3</f>
        <v>246.66666666666666</v>
      </c>
      <c r="AA8" s="21">
        <f>1630/2</f>
        <v>815</v>
      </c>
      <c r="AB8" s="19">
        <v>2</v>
      </c>
      <c r="AC8" s="19">
        <v>1</v>
      </c>
      <c r="AD8" s="19">
        <v>2</v>
      </c>
      <c r="AE8" s="19">
        <v>2</v>
      </c>
      <c r="AF8" s="19">
        <v>1</v>
      </c>
      <c r="AG8" s="19">
        <v>6</v>
      </c>
      <c r="AH8" s="19">
        <v>1</v>
      </c>
      <c r="AI8" s="19">
        <v>1751.04</v>
      </c>
      <c r="AJ8" s="19">
        <v>4</v>
      </c>
      <c r="AK8" s="19">
        <v>1000</v>
      </c>
    </row>
    <row r="9" spans="1:37" ht="27.6" thickBot="1" x14ac:dyDescent="0.35">
      <c r="A9" s="2" t="s">
        <v>7</v>
      </c>
      <c r="B9" s="33">
        <v>0.21295</v>
      </c>
      <c r="C9" s="34">
        <v>0.72558999999999996</v>
      </c>
      <c r="D9" s="34">
        <v>3.80213</v>
      </c>
      <c r="E9" s="34">
        <v>0.54747000000000001</v>
      </c>
      <c r="F9">
        <f t="shared" si="0"/>
        <v>-2.2314133649991117</v>
      </c>
      <c r="G9">
        <f t="shared" si="0"/>
        <v>-0.46277352194516042</v>
      </c>
      <c r="H9">
        <f t="shared" si="0"/>
        <v>1.926807860536959</v>
      </c>
      <c r="I9">
        <f t="shared" si="0"/>
        <v>-0.86914818412249506</v>
      </c>
      <c r="J9" s="16">
        <v>14</v>
      </c>
      <c r="K9" s="16">
        <v>5</v>
      </c>
      <c r="L9" s="16">
        <v>2</v>
      </c>
      <c r="M9" s="16">
        <v>1</v>
      </c>
      <c r="N9" s="16">
        <v>96</v>
      </c>
      <c r="O9" s="16">
        <v>52</v>
      </c>
      <c r="P9" s="16">
        <v>47.1</v>
      </c>
      <c r="Q9" s="17">
        <v>32</v>
      </c>
      <c r="R9" s="17">
        <v>7</v>
      </c>
      <c r="S9" s="17">
        <v>1.1200000000000001</v>
      </c>
      <c r="T9" s="17">
        <v>0.25</v>
      </c>
      <c r="U9" s="22">
        <v>94</v>
      </c>
      <c r="V9" s="18">
        <f>(483+908)/2</f>
        <v>695.5</v>
      </c>
      <c r="W9" s="18">
        <f>(858+479+224+309+219+179)/7</f>
        <v>324</v>
      </c>
      <c r="X9" s="18">
        <f>(336+158)/2</f>
        <v>247</v>
      </c>
      <c r="Y9" s="18">
        <f>(166+215+370)/6</f>
        <v>125.16666666666667</v>
      </c>
      <c r="Z9" s="18">
        <f>139/3</f>
        <v>46.333333333333336</v>
      </c>
      <c r="AA9" s="21">
        <f>1665/2</f>
        <v>832.5</v>
      </c>
      <c r="AB9" s="19">
        <v>1</v>
      </c>
      <c r="AC9" s="19">
        <v>1</v>
      </c>
      <c r="AD9" s="19">
        <v>2</v>
      </c>
      <c r="AE9" s="19">
        <v>1</v>
      </c>
      <c r="AF9" s="19">
        <v>0</v>
      </c>
      <c r="AG9" s="19">
        <v>2</v>
      </c>
      <c r="AH9" s="20">
        <v>1</v>
      </c>
      <c r="AI9" s="19">
        <v>389</v>
      </c>
      <c r="AJ9" s="19">
        <v>3</v>
      </c>
      <c r="AK9" s="19">
        <v>599</v>
      </c>
    </row>
    <row r="10" spans="1:37" ht="15" thickBot="1" x14ac:dyDescent="0.35">
      <c r="A10" s="2" t="s">
        <v>8</v>
      </c>
      <c r="B10" s="34">
        <v>0.50351999999999997</v>
      </c>
      <c r="C10" s="33">
        <v>5.8590000000000003E-2</v>
      </c>
      <c r="D10" s="34">
        <v>2.2934899999999998</v>
      </c>
      <c r="E10" s="33">
        <v>0.19428000000000001</v>
      </c>
      <c r="F10">
        <f t="shared" si="0"/>
        <v>-0.98987901113838805</v>
      </c>
      <c r="G10">
        <f t="shared" si="0"/>
        <v>-4.0932017398288636</v>
      </c>
      <c r="H10">
        <f t="shared" si="0"/>
        <v>1.1975446170419095</v>
      </c>
      <c r="I10">
        <f t="shared" si="0"/>
        <v>-2.3637907034130894</v>
      </c>
      <c r="J10" s="16">
        <v>21</v>
      </c>
      <c r="K10" s="16">
        <v>4</v>
      </c>
      <c r="L10" s="16">
        <v>4</v>
      </c>
      <c r="M10" s="16">
        <v>2</v>
      </c>
      <c r="N10" s="16">
        <v>240</v>
      </c>
      <c r="O10" s="16">
        <v>51.3</v>
      </c>
      <c r="P10" s="16">
        <v>51.3</v>
      </c>
      <c r="Q10" s="17">
        <v>51</v>
      </c>
      <c r="R10" s="17">
        <v>3</v>
      </c>
      <c r="S10" s="17">
        <v>0.82</v>
      </c>
      <c r="T10" s="17">
        <v>0.05</v>
      </c>
      <c r="U10" s="17">
        <v>154</v>
      </c>
      <c r="V10" s="18">
        <f>(407+711)/2</f>
        <v>559</v>
      </c>
      <c r="W10" s="18">
        <f>(159+215+344+536+309)/7</f>
        <v>223.28571428571428</v>
      </c>
      <c r="X10" s="18">
        <f>1756/2</f>
        <v>878</v>
      </c>
      <c r="Y10" s="18">
        <v>0</v>
      </c>
      <c r="Z10" s="18">
        <f>117/2</f>
        <v>58.5</v>
      </c>
      <c r="AA10" s="18">
        <f>1447/2</f>
        <v>723.5</v>
      </c>
      <c r="AB10" s="19">
        <v>1</v>
      </c>
      <c r="AC10" s="19">
        <v>1</v>
      </c>
      <c r="AD10" s="19">
        <v>3</v>
      </c>
      <c r="AE10" s="19">
        <v>0</v>
      </c>
      <c r="AF10" s="19">
        <v>0</v>
      </c>
      <c r="AG10" s="19">
        <v>2</v>
      </c>
      <c r="AH10" s="20">
        <v>2</v>
      </c>
      <c r="AI10" s="19">
        <v>850.57</v>
      </c>
      <c r="AJ10" s="19">
        <v>2</v>
      </c>
      <c r="AK10" s="19">
        <v>1000</v>
      </c>
    </row>
    <row r="11" spans="1:37" ht="27.6" thickBot="1" x14ac:dyDescent="0.35">
      <c r="A11" s="2" t="s">
        <v>9</v>
      </c>
      <c r="B11" s="34">
        <v>0.43389</v>
      </c>
      <c r="C11" s="34">
        <v>0.31134000000000001</v>
      </c>
      <c r="D11" s="34">
        <v>1.7440500000000001</v>
      </c>
      <c r="E11" s="34">
        <v>0.45051999999999998</v>
      </c>
      <c r="F11">
        <f t="shared" si="0"/>
        <v>-1.2045987585982494</v>
      </c>
      <c r="G11">
        <f t="shared" si="0"/>
        <v>-1.6834371531769068</v>
      </c>
      <c r="H11">
        <f t="shared" si="0"/>
        <v>0.80244140119168716</v>
      </c>
      <c r="I11">
        <f t="shared" si="0"/>
        <v>-1.1503369416557616</v>
      </c>
      <c r="J11" s="16">
        <v>5</v>
      </c>
      <c r="K11" s="16">
        <v>2</v>
      </c>
      <c r="L11" s="16">
        <v>0</v>
      </c>
      <c r="M11" s="16">
        <v>1</v>
      </c>
      <c r="N11" s="16">
        <v>60</v>
      </c>
      <c r="O11" s="16">
        <v>46.3</v>
      </c>
      <c r="P11" s="16">
        <v>0</v>
      </c>
      <c r="Q11" s="17">
        <v>51</v>
      </c>
      <c r="R11" s="17">
        <v>3</v>
      </c>
      <c r="S11" s="17">
        <v>0.82</v>
      </c>
      <c r="T11" s="17">
        <v>0.05</v>
      </c>
      <c r="U11" s="17">
        <v>154</v>
      </c>
      <c r="V11" s="18">
        <v>0</v>
      </c>
      <c r="W11" s="18">
        <f>211/7</f>
        <v>30.142857142857142</v>
      </c>
      <c r="X11" s="18">
        <f>268/2</f>
        <v>134</v>
      </c>
      <c r="Y11" s="18">
        <v>0</v>
      </c>
      <c r="Z11" s="18">
        <v>0</v>
      </c>
      <c r="AA11" s="18">
        <f>903/2</f>
        <v>451.5</v>
      </c>
      <c r="AB11" s="19">
        <v>0</v>
      </c>
      <c r="AC11" s="19">
        <v>0</v>
      </c>
      <c r="AD11" s="19">
        <v>1</v>
      </c>
      <c r="AE11" s="19">
        <v>0</v>
      </c>
      <c r="AF11" s="19">
        <v>0</v>
      </c>
      <c r="AG11" s="19">
        <v>1</v>
      </c>
      <c r="AH11" s="20">
        <v>0</v>
      </c>
      <c r="AI11" s="19">
        <v>0</v>
      </c>
      <c r="AJ11" s="19">
        <v>1</v>
      </c>
      <c r="AK11" s="19">
        <v>534</v>
      </c>
    </row>
    <row r="12" spans="1:37" ht="15" thickBot="1" x14ac:dyDescent="0.35">
      <c r="A12" s="2" t="s">
        <v>10</v>
      </c>
      <c r="B12" s="33">
        <v>0.24093000000000001</v>
      </c>
      <c r="C12" s="33">
        <v>0.15953999999999999</v>
      </c>
      <c r="D12" s="34">
        <v>0.60089999999999999</v>
      </c>
      <c r="E12" s="33">
        <v>0.15819</v>
      </c>
      <c r="F12">
        <f t="shared" si="0"/>
        <v>-2.0533140493537219</v>
      </c>
      <c r="G12">
        <f t="shared" si="0"/>
        <v>-2.6480099118579883</v>
      </c>
      <c r="H12">
        <f t="shared" si="0"/>
        <v>-0.73480317301558562</v>
      </c>
      <c r="I12">
        <f t="shared" si="0"/>
        <v>-2.6602696923358233</v>
      </c>
      <c r="J12" s="16">
        <v>30</v>
      </c>
      <c r="K12" s="16">
        <v>17</v>
      </c>
      <c r="L12" s="16">
        <v>0</v>
      </c>
      <c r="M12" s="16">
        <v>1</v>
      </c>
      <c r="N12" s="16">
        <v>237</v>
      </c>
      <c r="O12" s="16">
        <v>53.1</v>
      </c>
      <c r="P12" s="16">
        <v>53.1</v>
      </c>
      <c r="Q12" s="17">
        <v>53</v>
      </c>
      <c r="R12" s="17">
        <v>4</v>
      </c>
      <c r="S12" s="17">
        <v>1.28</v>
      </c>
      <c r="T12" s="17">
        <v>0.1</v>
      </c>
      <c r="U12" s="22">
        <v>294</v>
      </c>
      <c r="V12" s="18">
        <f>1534/2</f>
        <v>767</v>
      </c>
      <c r="W12" s="18">
        <f>(220+278+173)/7</f>
        <v>95.857142857142861</v>
      </c>
      <c r="X12" s="18">
        <v>160</v>
      </c>
      <c r="Y12" s="18">
        <v>1000</v>
      </c>
      <c r="Z12" s="18">
        <v>0</v>
      </c>
      <c r="AA12" s="18">
        <v>832</v>
      </c>
      <c r="AB12" s="19">
        <v>3</v>
      </c>
      <c r="AC12" s="19">
        <v>2</v>
      </c>
      <c r="AD12" s="19">
        <v>2</v>
      </c>
      <c r="AE12" s="19">
        <v>1</v>
      </c>
      <c r="AF12" s="19">
        <v>0</v>
      </c>
      <c r="AG12" s="19">
        <v>6</v>
      </c>
      <c r="AH12" s="20">
        <v>1</v>
      </c>
      <c r="AI12" s="19">
        <v>809.21</v>
      </c>
      <c r="AJ12" s="19">
        <v>2</v>
      </c>
      <c r="AK12" s="19">
        <v>537</v>
      </c>
    </row>
    <row r="13" spans="1:37" ht="15" thickBot="1" x14ac:dyDescent="0.35">
      <c r="A13" s="2" t="s">
        <v>11</v>
      </c>
      <c r="B13" s="33">
        <v>7.8399999999999997E-2</v>
      </c>
      <c r="C13" s="34">
        <v>0.30686000000000002</v>
      </c>
      <c r="D13" s="34">
        <v>3.5396100000000001</v>
      </c>
      <c r="E13" s="33">
        <v>0.23122000000000001</v>
      </c>
      <c r="F13">
        <f t="shared" si="0"/>
        <v>-3.6730025354342417</v>
      </c>
      <c r="G13">
        <f t="shared" si="0"/>
        <v>-1.7043474958820952</v>
      </c>
      <c r="H13">
        <f t="shared" si="0"/>
        <v>1.8235904105733252</v>
      </c>
      <c r="I13">
        <f t="shared" si="0"/>
        <v>-2.112661901837336</v>
      </c>
      <c r="J13" s="16">
        <v>9</v>
      </c>
      <c r="K13" s="16">
        <v>4</v>
      </c>
      <c r="L13" s="16">
        <v>0</v>
      </c>
      <c r="M13" s="16">
        <v>1</v>
      </c>
      <c r="N13" s="16">
        <v>137</v>
      </c>
      <c r="O13" s="16">
        <v>54.4</v>
      </c>
      <c r="P13" s="16">
        <v>0</v>
      </c>
      <c r="Q13" s="17">
        <v>53</v>
      </c>
      <c r="R13" s="17">
        <v>4</v>
      </c>
      <c r="S13" s="17">
        <v>1.28</v>
      </c>
      <c r="T13" s="17">
        <v>0.1</v>
      </c>
      <c r="U13" s="22">
        <v>294</v>
      </c>
      <c r="V13" s="18">
        <f>1578/2</f>
        <v>789</v>
      </c>
      <c r="W13" s="18">
        <f>(378+255+693+433+472+631+370)/7</f>
        <v>461.71428571428572</v>
      </c>
      <c r="X13" s="18">
        <v>116.5</v>
      </c>
      <c r="Y13" s="18">
        <f>142/6</f>
        <v>23.666666666666668</v>
      </c>
      <c r="Z13" s="18">
        <v>0</v>
      </c>
      <c r="AA13" s="18">
        <f>1714/2</f>
        <v>857</v>
      </c>
      <c r="AB13" s="19">
        <v>1</v>
      </c>
      <c r="AC13" s="19">
        <v>2</v>
      </c>
      <c r="AD13" s="19">
        <v>1</v>
      </c>
      <c r="AE13" s="19">
        <v>0</v>
      </c>
      <c r="AF13" s="19">
        <v>0</v>
      </c>
      <c r="AG13" s="19">
        <v>1</v>
      </c>
      <c r="AH13" s="20">
        <v>0</v>
      </c>
      <c r="AI13" s="19">
        <v>0</v>
      </c>
      <c r="AJ13" s="19">
        <v>1</v>
      </c>
      <c r="AK13" s="19">
        <v>556</v>
      </c>
    </row>
    <row r="14" spans="1:37" ht="15" thickBot="1" x14ac:dyDescent="0.35">
      <c r="A14" s="2" t="s">
        <v>12</v>
      </c>
      <c r="B14" s="34">
        <v>0.79901</v>
      </c>
      <c r="C14" s="34">
        <v>0.49498999999999999</v>
      </c>
      <c r="D14" s="34">
        <v>1.7419800000000001</v>
      </c>
      <c r="E14" s="34">
        <v>0.77381999999999995</v>
      </c>
      <c r="F14">
        <f t="shared" si="0"/>
        <v>-0.32371453558876817</v>
      </c>
      <c r="G14">
        <f t="shared" si="0"/>
        <v>-1.014528715343878</v>
      </c>
      <c r="H14">
        <f t="shared" si="0"/>
        <v>0.8007280601787663</v>
      </c>
      <c r="I14">
        <f t="shared" si="0"/>
        <v>-0.36993007801119765</v>
      </c>
      <c r="J14" s="16">
        <v>5</v>
      </c>
      <c r="K14" s="16">
        <v>4</v>
      </c>
      <c r="L14" s="16">
        <v>1</v>
      </c>
      <c r="M14" s="16">
        <v>1</v>
      </c>
      <c r="N14" s="16">
        <v>219</v>
      </c>
      <c r="O14" s="16">
        <v>57.5</v>
      </c>
      <c r="P14" s="16">
        <v>52.8</v>
      </c>
      <c r="Q14" s="17">
        <v>53</v>
      </c>
      <c r="R14" s="17">
        <v>4</v>
      </c>
      <c r="S14" s="17">
        <v>1.28</v>
      </c>
      <c r="T14" s="17">
        <v>0.1</v>
      </c>
      <c r="U14" s="22">
        <v>294</v>
      </c>
      <c r="V14" s="18">
        <v>1000</v>
      </c>
      <c r="W14" s="18">
        <f>(566+464+815+929+1831+370)/7</f>
        <v>710.71428571428567</v>
      </c>
      <c r="X14" s="18">
        <v>502</v>
      </c>
      <c r="Y14" s="18">
        <f>(4799+889)/6</f>
        <v>948</v>
      </c>
      <c r="Z14" s="18">
        <f>534*2/3</f>
        <v>356</v>
      </c>
      <c r="AA14" s="18">
        <f>1278/2</f>
        <v>639</v>
      </c>
      <c r="AB14" s="19">
        <v>3</v>
      </c>
      <c r="AC14" s="19">
        <v>2</v>
      </c>
      <c r="AD14" s="19">
        <v>1</v>
      </c>
      <c r="AE14" s="19">
        <v>1</v>
      </c>
      <c r="AF14" s="19">
        <v>1</v>
      </c>
      <c r="AG14" s="19">
        <v>2</v>
      </c>
      <c r="AH14" s="20">
        <v>1</v>
      </c>
      <c r="AI14" s="19">
        <v>374.24</v>
      </c>
      <c r="AJ14" s="19">
        <v>1</v>
      </c>
      <c r="AK14" s="19">
        <v>682</v>
      </c>
    </row>
    <row r="15" spans="1:37" ht="15" thickBot="1" x14ac:dyDescent="0.35">
      <c r="A15" s="2" t="s">
        <v>13</v>
      </c>
      <c r="B15" s="34">
        <v>1.1485099999999999</v>
      </c>
      <c r="C15" s="33">
        <v>0.16633000000000001</v>
      </c>
      <c r="D15" s="34">
        <v>2.34083</v>
      </c>
      <c r="E15" s="34">
        <v>0.63400999999999996</v>
      </c>
      <c r="F15">
        <f t="shared" si="0"/>
        <v>0.19976341822006088</v>
      </c>
      <c r="G15">
        <f t="shared" si="0"/>
        <v>-2.5878796920599494</v>
      </c>
      <c r="H15">
        <f t="shared" si="0"/>
        <v>1.2270201642395342</v>
      </c>
      <c r="I15">
        <f t="shared" si="0"/>
        <v>-0.65742249925985208</v>
      </c>
      <c r="J15" s="16">
        <v>8</v>
      </c>
      <c r="K15" s="16">
        <v>1</v>
      </c>
      <c r="L15" s="16">
        <v>0</v>
      </c>
      <c r="M15" s="16">
        <v>1</v>
      </c>
      <c r="N15" s="16">
        <v>118</v>
      </c>
      <c r="O15" s="16">
        <v>38.700000000000003</v>
      </c>
      <c r="P15" s="16">
        <v>0</v>
      </c>
      <c r="Q15" s="17">
        <v>10</v>
      </c>
      <c r="R15" s="17">
        <v>4</v>
      </c>
      <c r="S15" s="17">
        <v>1.94</v>
      </c>
      <c r="T15" s="17">
        <v>0.78</v>
      </c>
      <c r="U15" s="17">
        <v>374</v>
      </c>
      <c r="V15" s="18">
        <f>1971/2</f>
        <v>985.5</v>
      </c>
      <c r="W15" s="18">
        <f>(407+467+736+622+551+408+162)/7</f>
        <v>479</v>
      </c>
      <c r="X15" s="18">
        <f>(899+113)/2</f>
        <v>506</v>
      </c>
      <c r="Y15" s="18">
        <f>(686+538+704+340+661+720)/6</f>
        <v>608.16666666666663</v>
      </c>
      <c r="Z15" s="18">
        <v>0</v>
      </c>
      <c r="AA15" s="18">
        <f>1307/2</f>
        <v>653.5</v>
      </c>
      <c r="AB15" s="19">
        <v>1</v>
      </c>
      <c r="AC15" s="19">
        <v>2</v>
      </c>
      <c r="AD15" s="19">
        <v>2</v>
      </c>
      <c r="AE15" s="19">
        <v>1</v>
      </c>
      <c r="AF15" s="19">
        <v>0</v>
      </c>
      <c r="AG15" s="19">
        <v>2</v>
      </c>
      <c r="AH15" s="20">
        <v>1</v>
      </c>
      <c r="AI15" s="19">
        <v>908.71</v>
      </c>
      <c r="AJ15" s="19">
        <v>1</v>
      </c>
      <c r="AK15" s="19">
        <v>1000</v>
      </c>
    </row>
    <row r="16" spans="1:37" ht="15" thickBot="1" x14ac:dyDescent="0.35">
      <c r="A16" s="2" t="s">
        <v>14</v>
      </c>
      <c r="B16" s="33">
        <v>0.17995</v>
      </c>
      <c r="C16" s="33">
        <v>3.7229999999999999E-2</v>
      </c>
      <c r="D16" s="34">
        <v>0.70716000000000001</v>
      </c>
      <c r="E16" s="33">
        <v>0.14799000000000001</v>
      </c>
      <c r="F16">
        <f t="shared" si="0"/>
        <v>-2.4743319926247218</v>
      </c>
      <c r="G16">
        <f t="shared" si="0"/>
        <v>-4.7473905735852995</v>
      </c>
      <c r="H16">
        <f t="shared" si="0"/>
        <v>-0.49989142286404875</v>
      </c>
      <c r="I16">
        <f t="shared" si="0"/>
        <v>-2.7564284017211631</v>
      </c>
      <c r="J16" s="16">
        <v>16</v>
      </c>
      <c r="K16" s="16">
        <v>11</v>
      </c>
      <c r="L16" s="16">
        <v>3</v>
      </c>
      <c r="M16" s="16">
        <v>6</v>
      </c>
      <c r="N16" s="16">
        <v>157.19999999999999</v>
      </c>
      <c r="O16" s="16">
        <v>47.8</v>
      </c>
      <c r="P16" s="16">
        <v>47.8</v>
      </c>
      <c r="Q16" s="17">
        <v>10</v>
      </c>
      <c r="R16" s="17">
        <v>4</v>
      </c>
      <c r="S16" s="17">
        <v>1.94</v>
      </c>
      <c r="T16" s="17">
        <v>0.78</v>
      </c>
      <c r="U16" s="17">
        <v>374</v>
      </c>
      <c r="V16" s="18">
        <v>557</v>
      </c>
      <c r="W16" s="18">
        <v>716.57</v>
      </c>
      <c r="X16" s="18">
        <v>162.5</v>
      </c>
      <c r="Y16" s="18">
        <f>(608+739+807+889+1803)/6</f>
        <v>807.66666666666663</v>
      </c>
      <c r="Z16" s="18">
        <v>320.60000000000002</v>
      </c>
      <c r="AA16" s="18">
        <f>1476/2</f>
        <v>738</v>
      </c>
      <c r="AB16" s="19">
        <v>2</v>
      </c>
      <c r="AC16" s="19">
        <v>4</v>
      </c>
      <c r="AD16" s="19">
        <v>2</v>
      </c>
      <c r="AE16" s="19">
        <v>1</v>
      </c>
      <c r="AF16" s="19">
        <v>2</v>
      </c>
      <c r="AG16" s="19">
        <v>7</v>
      </c>
      <c r="AH16" s="20">
        <v>1</v>
      </c>
      <c r="AI16" s="19">
        <v>3100</v>
      </c>
      <c r="AJ16" s="19">
        <v>2</v>
      </c>
      <c r="AK16" s="19">
        <v>1000</v>
      </c>
    </row>
    <row r="17" spans="1:37" ht="15" thickBot="1" x14ac:dyDescent="0.35">
      <c r="A17" s="2" t="s">
        <v>15</v>
      </c>
      <c r="B17" s="34">
        <v>0.60185</v>
      </c>
      <c r="C17" s="33">
        <v>0.12623000000000001</v>
      </c>
      <c r="D17" s="34">
        <v>1.8175399999999999</v>
      </c>
      <c r="E17" s="34">
        <v>0.43369000000000002</v>
      </c>
      <c r="F17">
        <f t="shared" si="0"/>
        <v>-0.73252412820350765</v>
      </c>
      <c r="G17">
        <f t="shared" si="0"/>
        <v>-2.9858732708765272</v>
      </c>
      <c r="H17">
        <f t="shared" si="0"/>
        <v>0.86198711499307923</v>
      </c>
      <c r="I17">
        <f t="shared" si="0"/>
        <v>-1.2052639168851831</v>
      </c>
      <c r="J17" s="16">
        <v>17</v>
      </c>
      <c r="K17" s="16">
        <v>2</v>
      </c>
      <c r="L17" s="16">
        <v>1</v>
      </c>
      <c r="M17" s="16">
        <v>1</v>
      </c>
      <c r="N17" s="16">
        <v>181</v>
      </c>
      <c r="O17" s="16">
        <v>48.5</v>
      </c>
      <c r="P17" s="16">
        <v>39.200000000000003</v>
      </c>
      <c r="Q17" s="17">
        <v>32</v>
      </c>
      <c r="R17" s="17">
        <v>7</v>
      </c>
      <c r="S17" s="17">
        <v>1.1200000000000001</v>
      </c>
      <c r="T17" s="17">
        <v>0.25</v>
      </c>
      <c r="U17" s="22">
        <v>94</v>
      </c>
      <c r="V17" s="18">
        <f>(281+485)/2</f>
        <v>383</v>
      </c>
      <c r="W17" s="18">
        <f>6401/7</f>
        <v>914.42857142857144</v>
      </c>
      <c r="X17" s="18">
        <v>707</v>
      </c>
      <c r="Y17" s="18">
        <f>(828+598+597+496+666+1000)/6</f>
        <v>697.5</v>
      </c>
      <c r="Z17" s="18">
        <f>243/3</f>
        <v>81</v>
      </c>
      <c r="AA17" s="18">
        <f>1895/2</f>
        <v>947.5</v>
      </c>
      <c r="AB17" s="19">
        <v>1</v>
      </c>
      <c r="AC17" s="19">
        <v>1</v>
      </c>
      <c r="AD17" s="19">
        <v>1</v>
      </c>
      <c r="AE17" s="19">
        <v>1</v>
      </c>
      <c r="AF17" s="19">
        <v>0</v>
      </c>
      <c r="AG17" s="19">
        <v>2</v>
      </c>
      <c r="AH17" s="20">
        <v>1</v>
      </c>
      <c r="AI17" s="19">
        <v>720.79</v>
      </c>
      <c r="AJ17" s="19">
        <v>2</v>
      </c>
      <c r="AK17" s="19">
        <v>851</v>
      </c>
    </row>
    <row r="18" spans="1:37" ht="15" thickBot="1" x14ac:dyDescent="0.35">
      <c r="A18" s="2" t="s">
        <v>16</v>
      </c>
      <c r="B18" s="34">
        <v>0.41871999999999998</v>
      </c>
      <c r="C18" s="34">
        <v>0.40589999999999998</v>
      </c>
      <c r="D18" s="34">
        <v>1.4388300000000001</v>
      </c>
      <c r="E18" s="34">
        <v>0.33349000000000001</v>
      </c>
      <c r="F18">
        <f t="shared" si="0"/>
        <v>-1.2559422653887771</v>
      </c>
      <c r="G18">
        <f t="shared" si="0"/>
        <v>-1.3008037548517561</v>
      </c>
      <c r="H18">
        <f t="shared" si="0"/>
        <v>0.52489614548669139</v>
      </c>
      <c r="I18">
        <f t="shared" si="0"/>
        <v>-1.584284593347695</v>
      </c>
      <c r="J18" s="16">
        <v>14</v>
      </c>
      <c r="K18" s="16">
        <v>5</v>
      </c>
      <c r="L18" s="16">
        <v>0</v>
      </c>
      <c r="M18" s="16">
        <v>1</v>
      </c>
      <c r="N18" s="16">
        <v>162</v>
      </c>
      <c r="O18" s="16">
        <v>51.9</v>
      </c>
      <c r="P18" s="16">
        <v>0</v>
      </c>
      <c r="Q18" s="17">
        <v>2</v>
      </c>
      <c r="R18" s="17">
        <v>3</v>
      </c>
      <c r="S18" s="17">
        <v>0.41</v>
      </c>
      <c r="T18" s="17">
        <v>0.62</v>
      </c>
      <c r="U18" s="17">
        <v>348</v>
      </c>
      <c r="V18" s="18">
        <f>(593+418)/2</f>
        <v>505.5</v>
      </c>
      <c r="W18" s="18">
        <f>(673+724+2742+957+893)/7</f>
        <v>855.57142857142856</v>
      </c>
      <c r="X18" s="18">
        <v>830</v>
      </c>
      <c r="Y18" s="18">
        <v>1000</v>
      </c>
      <c r="Z18" s="18">
        <f>131/3</f>
        <v>43.666666666666664</v>
      </c>
      <c r="AA18" s="18">
        <f>1479/2</f>
        <v>739.5</v>
      </c>
      <c r="AB18" s="19">
        <v>2</v>
      </c>
      <c r="AC18" s="19">
        <v>1</v>
      </c>
      <c r="AD18" s="19">
        <v>3</v>
      </c>
      <c r="AE18" s="19">
        <v>1</v>
      </c>
      <c r="AF18" s="19">
        <v>0</v>
      </c>
      <c r="AG18" s="19">
        <v>3</v>
      </c>
      <c r="AH18" s="20">
        <v>1</v>
      </c>
      <c r="AI18" s="19">
        <v>973.49</v>
      </c>
      <c r="AJ18" s="19">
        <v>3</v>
      </c>
      <c r="AK18" s="19">
        <v>760</v>
      </c>
    </row>
    <row r="19" spans="1:37" ht="15" thickBot="1" x14ac:dyDescent="0.35">
      <c r="A19" s="2" t="s">
        <v>17</v>
      </c>
      <c r="B19" s="34">
        <v>0.62665999999999999</v>
      </c>
      <c r="C19" s="33">
        <v>0.20707999999999999</v>
      </c>
      <c r="D19" s="34">
        <v>3.4137900000000001</v>
      </c>
      <c r="E19" s="34">
        <v>0.39676</v>
      </c>
      <c r="F19">
        <f t="shared" si="0"/>
        <v>-0.67424518671946532</v>
      </c>
      <c r="G19">
        <f t="shared" si="0"/>
        <v>-2.2717398715758845</v>
      </c>
      <c r="H19">
        <f t="shared" si="0"/>
        <v>1.7713743134104953</v>
      </c>
      <c r="I19">
        <f t="shared" si="0"/>
        <v>-1.3336615094611892</v>
      </c>
      <c r="J19" s="16">
        <v>9</v>
      </c>
      <c r="K19" s="16">
        <v>6</v>
      </c>
      <c r="L19" s="16">
        <v>4</v>
      </c>
      <c r="M19" s="16">
        <v>2</v>
      </c>
      <c r="N19" s="16">
        <v>154</v>
      </c>
      <c r="O19" s="16">
        <v>53.8</v>
      </c>
      <c r="P19" s="16">
        <v>53.8</v>
      </c>
      <c r="Q19" s="17">
        <v>2</v>
      </c>
      <c r="R19" s="17">
        <v>3</v>
      </c>
      <c r="S19" s="17">
        <v>0.41</v>
      </c>
      <c r="T19" s="17">
        <v>0.62</v>
      </c>
      <c r="U19" s="17">
        <v>348</v>
      </c>
      <c r="V19" s="18">
        <v>1000</v>
      </c>
      <c r="W19" s="18">
        <f>6679/7</f>
        <v>954.14285714285711</v>
      </c>
      <c r="X19" s="18">
        <f>(887+122)/2</f>
        <v>504.5</v>
      </c>
      <c r="Y19" s="18">
        <v>905.5</v>
      </c>
      <c r="Z19" s="18">
        <f>2455/3</f>
        <v>818.33333333333337</v>
      </c>
      <c r="AA19" s="18">
        <f>1729/2</f>
        <v>864.5</v>
      </c>
      <c r="AB19" s="19">
        <v>3</v>
      </c>
      <c r="AC19" s="19">
        <v>4</v>
      </c>
      <c r="AD19" s="19">
        <v>2</v>
      </c>
      <c r="AE19" s="19">
        <v>1</v>
      </c>
      <c r="AF19" s="19">
        <v>2</v>
      </c>
      <c r="AG19" s="19">
        <v>4</v>
      </c>
      <c r="AH19" s="20">
        <v>1</v>
      </c>
      <c r="AI19" s="19">
        <v>2459</v>
      </c>
      <c r="AJ19" s="19">
        <v>3</v>
      </c>
      <c r="AK19" s="19">
        <v>864</v>
      </c>
    </row>
    <row r="20" spans="1:37" ht="15" thickBot="1" x14ac:dyDescent="0.35">
      <c r="A20" s="2" t="s">
        <v>18</v>
      </c>
      <c r="B20" s="34">
        <v>0.55950999999999995</v>
      </c>
      <c r="C20" s="34">
        <v>0.31436999999999998</v>
      </c>
      <c r="D20" s="34">
        <v>2.3545699999999998</v>
      </c>
      <c r="E20" s="34">
        <v>0.33260000000000001</v>
      </c>
      <c r="F20">
        <f t="shared" si="0"/>
        <v>-0.83776417848196982</v>
      </c>
      <c r="G20">
        <f t="shared" si="0"/>
        <v>-1.6694645455996346</v>
      </c>
      <c r="H20">
        <f t="shared" si="0"/>
        <v>1.2354636137615351</v>
      </c>
      <c r="I20">
        <f t="shared" si="0"/>
        <v>-1.5881399262621803</v>
      </c>
      <c r="J20" s="16">
        <v>7</v>
      </c>
      <c r="K20" s="16">
        <v>1</v>
      </c>
      <c r="L20" s="16">
        <v>1</v>
      </c>
      <c r="M20" s="16">
        <v>1</v>
      </c>
      <c r="N20" s="16">
        <v>150</v>
      </c>
      <c r="O20" s="16">
        <v>40.799999999999997</v>
      </c>
      <c r="P20" s="16">
        <v>40.799999999999997</v>
      </c>
      <c r="Q20" s="17">
        <v>2</v>
      </c>
      <c r="R20" s="17">
        <v>3</v>
      </c>
      <c r="S20" s="17">
        <v>0.41</v>
      </c>
      <c r="T20" s="17">
        <v>0.62</v>
      </c>
      <c r="U20" s="17">
        <v>348</v>
      </c>
      <c r="V20" s="18">
        <v>1000</v>
      </c>
      <c r="W20" s="18">
        <f>(1000+923+1748+736+689+736)/7</f>
        <v>833.14285714285711</v>
      </c>
      <c r="X20" s="18">
        <f>(383+128)/2</f>
        <v>255.5</v>
      </c>
      <c r="Y20" s="18">
        <f>(118+131)/6</f>
        <v>41.5</v>
      </c>
      <c r="Z20" s="18">
        <f>172/3</f>
        <v>57.333333333333336</v>
      </c>
      <c r="AA20" s="18">
        <f>1348/2</f>
        <v>674</v>
      </c>
      <c r="AB20" s="19">
        <v>2</v>
      </c>
      <c r="AC20" s="19">
        <v>2</v>
      </c>
      <c r="AD20" s="19">
        <v>2</v>
      </c>
      <c r="AE20" s="19">
        <v>0</v>
      </c>
      <c r="AF20" s="19">
        <v>0</v>
      </c>
      <c r="AG20" s="19">
        <v>1</v>
      </c>
      <c r="AH20" s="20">
        <v>1</v>
      </c>
      <c r="AI20" s="19">
        <v>985.6</v>
      </c>
      <c r="AJ20" s="19">
        <v>2</v>
      </c>
      <c r="AK20" s="19">
        <v>426</v>
      </c>
    </row>
  </sheetData>
  <conditionalFormatting sqref="F2:I20">
    <cfRule type="colorScale" priority="1">
      <colorScale>
        <cfvo type="min"/>
        <cfvo type="num" val="0"/>
        <cfvo type="max"/>
        <color rgb="FF0070C0"/>
        <color theme="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workbookViewId="0">
      <selection sqref="A1:AK1"/>
    </sheetView>
  </sheetViews>
  <sheetFormatPr defaultRowHeight="14.4" x14ac:dyDescent="0.3"/>
  <sheetData>
    <row r="1" spans="1:37" ht="54" thickBot="1" x14ac:dyDescent="0.35">
      <c r="A1" t="s">
        <v>87</v>
      </c>
      <c r="B1" t="s">
        <v>34</v>
      </c>
      <c r="C1" t="s">
        <v>35</v>
      </c>
      <c r="D1" t="s">
        <v>36</v>
      </c>
      <c r="E1" t="s">
        <v>37</v>
      </c>
      <c r="F1" t="s">
        <v>89</v>
      </c>
      <c r="G1" t="s">
        <v>90</v>
      </c>
      <c r="H1" t="s">
        <v>91</v>
      </c>
      <c r="I1" t="s">
        <v>92</v>
      </c>
      <c r="J1" s="9" t="s">
        <v>109</v>
      </c>
      <c r="K1" s="9" t="s">
        <v>110</v>
      </c>
      <c r="L1" s="9" t="s">
        <v>44</v>
      </c>
      <c r="M1" s="9" t="s">
        <v>108</v>
      </c>
      <c r="N1" s="9" t="s">
        <v>107</v>
      </c>
      <c r="O1" s="9" t="s">
        <v>111</v>
      </c>
      <c r="P1" s="9" t="s">
        <v>46</v>
      </c>
      <c r="Q1" s="10" t="s">
        <v>47</v>
      </c>
      <c r="R1" s="10" t="s">
        <v>48</v>
      </c>
      <c r="S1" s="10" t="s">
        <v>49</v>
      </c>
      <c r="T1" s="10" t="s">
        <v>50</v>
      </c>
      <c r="U1" s="10" t="s">
        <v>112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2" t="s">
        <v>99</v>
      </c>
      <c r="AC1" s="12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2" t="s">
        <v>59</v>
      </c>
      <c r="AI1" s="13" t="s">
        <v>60</v>
      </c>
      <c r="AJ1" s="15" t="s">
        <v>105</v>
      </c>
      <c r="AK1" s="14" t="s">
        <v>106</v>
      </c>
    </row>
    <row r="2" spans="1:37" ht="15" thickBot="1" x14ac:dyDescent="0.35">
      <c r="A2" s="7" t="s">
        <v>19</v>
      </c>
      <c r="B2" s="34">
        <v>0.34288000000000002</v>
      </c>
      <c r="C2" s="33">
        <v>0.12055</v>
      </c>
      <c r="D2" s="34">
        <v>1.7099599999999999</v>
      </c>
      <c r="E2" s="33">
        <v>8.3960000000000007E-2</v>
      </c>
      <c r="F2">
        <f t="shared" ref="F2:I10" si="0">LOG((B2),2)</f>
        <v>-1.5442243397602642</v>
      </c>
      <c r="G2">
        <f t="shared" si="0"/>
        <v>-3.0522964439469233</v>
      </c>
      <c r="H2">
        <f t="shared" si="0"/>
        <v>0.77396257746404373</v>
      </c>
      <c r="I2">
        <f t="shared" si="0"/>
        <v>-3.5741540231446574</v>
      </c>
      <c r="J2" s="16">
        <v>1</v>
      </c>
      <c r="K2" s="16">
        <v>3</v>
      </c>
      <c r="L2" s="16">
        <v>3</v>
      </c>
      <c r="M2" s="16">
        <v>0</v>
      </c>
      <c r="N2" s="16">
        <v>0</v>
      </c>
      <c r="O2" s="16">
        <v>37.6</v>
      </c>
      <c r="P2" s="16">
        <v>37.6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28">
        <v>433</v>
      </c>
      <c r="W2" s="24">
        <v>236.7</v>
      </c>
      <c r="X2" s="28">
        <v>86.5</v>
      </c>
      <c r="Y2" s="24">
        <v>0</v>
      </c>
      <c r="Z2" s="28">
        <v>0</v>
      </c>
      <c r="AA2" s="24">
        <v>609</v>
      </c>
      <c r="AB2" s="19">
        <v>1</v>
      </c>
      <c r="AC2" s="19">
        <v>1</v>
      </c>
      <c r="AD2" s="19">
        <v>1</v>
      </c>
      <c r="AE2" s="19">
        <v>0</v>
      </c>
      <c r="AF2" s="19">
        <v>0</v>
      </c>
      <c r="AG2" s="19">
        <v>1</v>
      </c>
      <c r="AH2" s="20">
        <v>1</v>
      </c>
      <c r="AI2" s="19">
        <v>400.66</v>
      </c>
      <c r="AJ2" s="19">
        <v>1</v>
      </c>
      <c r="AK2" s="19">
        <v>321</v>
      </c>
    </row>
    <row r="3" spans="1:37" ht="15" thickBot="1" x14ac:dyDescent="0.35">
      <c r="A3" s="7" t="s">
        <v>20</v>
      </c>
      <c r="B3" s="34">
        <v>0.27382000000000001</v>
      </c>
      <c r="C3" s="34">
        <v>0.34638000000000002</v>
      </c>
      <c r="D3" s="34">
        <v>2.1631</v>
      </c>
      <c r="E3" s="34">
        <v>0.34608</v>
      </c>
      <c r="F3">
        <f t="shared" si="0"/>
        <v>-1.8687002690109151</v>
      </c>
      <c r="G3">
        <f t="shared" si="0"/>
        <v>-1.5295724637078707</v>
      </c>
      <c r="H3">
        <f t="shared" si="0"/>
        <v>1.1131003625579829</v>
      </c>
      <c r="I3">
        <f t="shared" si="0"/>
        <v>-1.530822524474833</v>
      </c>
      <c r="J3" s="16">
        <v>9</v>
      </c>
      <c r="K3" s="16">
        <v>2</v>
      </c>
      <c r="L3" s="16">
        <v>1</v>
      </c>
      <c r="M3" s="16">
        <v>1</v>
      </c>
      <c r="N3">
        <f>(78+176+135+118+151)/5</f>
        <v>131.6</v>
      </c>
      <c r="O3" s="16">
        <v>35.4</v>
      </c>
      <c r="P3" s="16">
        <v>33.799999999999997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>
        <v>1000</v>
      </c>
      <c r="W3">
        <v>165.6</v>
      </c>
      <c r="X3">
        <v>574</v>
      </c>
      <c r="Y3">
        <v>0</v>
      </c>
      <c r="Z3">
        <v>844</v>
      </c>
      <c r="AA3">
        <v>773</v>
      </c>
      <c r="AB3" s="19">
        <v>1</v>
      </c>
      <c r="AC3" s="19">
        <v>1</v>
      </c>
      <c r="AD3" s="19">
        <v>1</v>
      </c>
      <c r="AE3" s="19">
        <v>0</v>
      </c>
      <c r="AF3" s="19">
        <v>1</v>
      </c>
      <c r="AG3" s="19">
        <v>2</v>
      </c>
      <c r="AH3" s="20">
        <v>1</v>
      </c>
      <c r="AI3" s="19">
        <v>407</v>
      </c>
      <c r="AJ3" s="19">
        <v>1</v>
      </c>
      <c r="AK3" s="19">
        <v>572</v>
      </c>
    </row>
    <row r="4" spans="1:37" ht="15" thickBot="1" x14ac:dyDescent="0.35">
      <c r="A4" s="7" t="s">
        <v>21</v>
      </c>
      <c r="B4" s="34">
        <v>0.57994000000000001</v>
      </c>
      <c r="C4" s="34">
        <v>0.33482000000000001</v>
      </c>
      <c r="D4" s="34">
        <v>1.93096</v>
      </c>
      <c r="E4" s="34">
        <v>0.28632000000000002</v>
      </c>
      <c r="F4">
        <f t="shared" si="0"/>
        <v>-0.78602444668179317</v>
      </c>
      <c r="G4">
        <f t="shared" si="0"/>
        <v>-1.5785423870736961</v>
      </c>
      <c r="H4">
        <f t="shared" si="0"/>
        <v>0.94931827904809596</v>
      </c>
      <c r="I4">
        <f t="shared" si="0"/>
        <v>-1.8042996460204275</v>
      </c>
      <c r="J4" s="16">
        <v>3</v>
      </c>
      <c r="K4" s="16">
        <v>1</v>
      </c>
      <c r="L4" s="16">
        <v>0</v>
      </c>
      <c r="M4" s="16">
        <v>1</v>
      </c>
      <c r="N4">
        <f>(129+328+203+221+114)/5</f>
        <v>199</v>
      </c>
      <c r="O4" s="16">
        <v>46.5</v>
      </c>
      <c r="P4" s="16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>
        <v>0</v>
      </c>
      <c r="W4">
        <v>834</v>
      </c>
      <c r="X4">
        <v>136.5</v>
      </c>
      <c r="Y4">
        <v>0</v>
      </c>
      <c r="Z4">
        <v>0</v>
      </c>
      <c r="AA4">
        <v>838.5</v>
      </c>
      <c r="AB4" s="19">
        <v>0</v>
      </c>
      <c r="AC4" s="19">
        <v>1</v>
      </c>
      <c r="AD4" s="19">
        <v>1</v>
      </c>
      <c r="AE4" s="19">
        <v>0</v>
      </c>
      <c r="AF4" s="19">
        <v>0</v>
      </c>
      <c r="AG4" s="19">
        <v>1</v>
      </c>
      <c r="AH4" s="19">
        <v>1</v>
      </c>
      <c r="AI4" s="19">
        <v>275.05</v>
      </c>
      <c r="AJ4" s="19">
        <v>1</v>
      </c>
      <c r="AK4" s="19">
        <v>617</v>
      </c>
    </row>
    <row r="5" spans="1:37" ht="15" thickBot="1" x14ac:dyDescent="0.35">
      <c r="A5" s="7" t="s">
        <v>22</v>
      </c>
      <c r="B5" s="34">
        <v>1.2741</v>
      </c>
      <c r="C5" s="34">
        <v>1.39384</v>
      </c>
      <c r="D5" s="34">
        <v>2.9141599999999999</v>
      </c>
      <c r="E5" s="34">
        <v>0.77144000000000001</v>
      </c>
      <c r="F5">
        <f t="shared" si="0"/>
        <v>0.34947851451910877</v>
      </c>
      <c r="G5">
        <f t="shared" si="0"/>
        <v>0.47906496260182813</v>
      </c>
      <c r="H5">
        <f t="shared" si="0"/>
        <v>1.5430800897804662</v>
      </c>
      <c r="I5">
        <f t="shared" si="0"/>
        <v>-0.37437414167995181</v>
      </c>
      <c r="J5">
        <v>1</v>
      </c>
      <c r="K5">
        <v>1</v>
      </c>
      <c r="L5">
        <v>1</v>
      </c>
      <c r="M5">
        <v>1</v>
      </c>
      <c r="N5">
        <f>(216+79)/5</f>
        <v>59</v>
      </c>
      <c r="O5">
        <v>40.299999999999997</v>
      </c>
      <c r="P5">
        <v>40.299999999999997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>
        <v>619</v>
      </c>
      <c r="W5">
        <v>522</v>
      </c>
      <c r="X5">
        <v>430.5</v>
      </c>
      <c r="Y5">
        <v>774</v>
      </c>
      <c r="Z5">
        <v>0</v>
      </c>
      <c r="AA5">
        <v>822.5</v>
      </c>
      <c r="AB5">
        <v>2</v>
      </c>
      <c r="AC5">
        <v>1</v>
      </c>
      <c r="AD5">
        <v>1</v>
      </c>
      <c r="AE5">
        <v>2</v>
      </c>
      <c r="AF5">
        <v>0</v>
      </c>
      <c r="AG5">
        <v>2</v>
      </c>
      <c r="AH5">
        <v>1</v>
      </c>
      <c r="AI5">
        <v>917.27</v>
      </c>
      <c r="AJ5">
        <v>1</v>
      </c>
      <c r="AK5">
        <v>990</v>
      </c>
    </row>
    <row r="6" spans="1:37" ht="27.6" thickBot="1" x14ac:dyDescent="0.35">
      <c r="A6" s="7" t="s">
        <v>23</v>
      </c>
      <c r="B6" s="34">
        <v>1.0396300000000001</v>
      </c>
      <c r="C6" s="33">
        <v>0.14974999999999999</v>
      </c>
      <c r="D6" s="36">
        <v>4.0543199999999997</v>
      </c>
      <c r="E6" s="34">
        <v>2.5902699999999999</v>
      </c>
      <c r="F6">
        <f t="shared" si="0"/>
        <v>5.6070170537560284E-2</v>
      </c>
      <c r="G6">
        <f t="shared" si="0"/>
        <v>-2.7393720918733013</v>
      </c>
      <c r="H6">
        <f t="shared" si="0"/>
        <v>2.0194599625575309</v>
      </c>
      <c r="I6">
        <f t="shared" si="0"/>
        <v>1.3731024868534838</v>
      </c>
      <c r="J6">
        <v>5</v>
      </c>
      <c r="K6">
        <v>1</v>
      </c>
      <c r="L6">
        <v>0</v>
      </c>
      <c r="M6">
        <v>1</v>
      </c>
      <c r="N6">
        <f>(84+75+69+67)/5</f>
        <v>59</v>
      </c>
      <c r="O6">
        <v>46.5</v>
      </c>
      <c r="P6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>
        <v>1000</v>
      </c>
      <c r="W6">
        <v>461</v>
      </c>
      <c r="X6">
        <v>1000</v>
      </c>
      <c r="Y6">
        <v>1000</v>
      </c>
      <c r="Z6">
        <v>0</v>
      </c>
      <c r="AA6">
        <v>706</v>
      </c>
      <c r="AB6">
        <v>1</v>
      </c>
      <c r="AC6">
        <v>1</v>
      </c>
      <c r="AD6">
        <v>3</v>
      </c>
      <c r="AE6">
        <v>1</v>
      </c>
      <c r="AF6">
        <v>0</v>
      </c>
      <c r="AG6">
        <v>1</v>
      </c>
      <c r="AH6">
        <v>1</v>
      </c>
      <c r="AI6">
        <v>245.57</v>
      </c>
      <c r="AJ6">
        <v>1</v>
      </c>
      <c r="AK6">
        <v>869</v>
      </c>
    </row>
    <row r="7" spans="1:37" ht="15" thickBot="1" x14ac:dyDescent="0.35">
      <c r="A7" s="7" t="s">
        <v>24</v>
      </c>
      <c r="B7" s="34">
        <v>0.35072999999999999</v>
      </c>
      <c r="C7" s="34">
        <v>0.26035000000000003</v>
      </c>
      <c r="D7" s="34">
        <v>3.0679099999999999</v>
      </c>
      <c r="E7" s="34">
        <v>0.49578</v>
      </c>
      <c r="F7">
        <f t="shared" si="0"/>
        <v>-1.5115672568254621</v>
      </c>
      <c r="G7">
        <f t="shared" si="0"/>
        <v>-1.9414756881591999</v>
      </c>
      <c r="H7">
        <f t="shared" si="0"/>
        <v>1.6172561606576041</v>
      </c>
      <c r="I7">
        <f t="shared" si="0"/>
        <v>-1.0122280212900767</v>
      </c>
      <c r="J7">
        <v>21</v>
      </c>
      <c r="K7">
        <v>9</v>
      </c>
      <c r="L7">
        <v>4</v>
      </c>
      <c r="M7">
        <v>4</v>
      </c>
      <c r="N7">
        <f>(162+179+290+164+234)/5</f>
        <v>205.8</v>
      </c>
      <c r="O7">
        <v>52.6</v>
      </c>
      <c r="P7">
        <v>52.6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>
        <v>607</v>
      </c>
      <c r="W7">
        <v>289</v>
      </c>
      <c r="X7">
        <v>439</v>
      </c>
      <c r="Y7">
        <v>951</v>
      </c>
      <c r="Z7">
        <v>0</v>
      </c>
      <c r="AA7">
        <v>818.5</v>
      </c>
      <c r="AB7">
        <v>2</v>
      </c>
      <c r="AC7">
        <v>3</v>
      </c>
      <c r="AD7">
        <v>5</v>
      </c>
      <c r="AE7">
        <v>2</v>
      </c>
      <c r="AF7">
        <v>0</v>
      </c>
      <c r="AG7">
        <v>5</v>
      </c>
      <c r="AH7">
        <v>3</v>
      </c>
      <c r="AI7">
        <v>483.65</v>
      </c>
      <c r="AJ7">
        <v>3</v>
      </c>
      <c r="AK7">
        <v>711</v>
      </c>
    </row>
    <row r="8" spans="1:37" ht="15" thickBot="1" x14ac:dyDescent="0.35">
      <c r="A8" s="7" t="s">
        <v>25</v>
      </c>
      <c r="B8" s="34">
        <v>0.39623999999999998</v>
      </c>
      <c r="C8" s="33">
        <v>1.0399999999999999E-3</v>
      </c>
      <c r="D8" s="34">
        <v>3.7854800000000002</v>
      </c>
      <c r="E8" s="34">
        <v>0.35763</v>
      </c>
      <c r="F8">
        <f t="shared" si="0"/>
        <v>-1.3355535688023976</v>
      </c>
      <c r="G8">
        <f t="shared" si="0"/>
        <v>-9.9092007562957196</v>
      </c>
      <c r="H8">
        <f t="shared" si="0"/>
        <v>1.92047624597417</v>
      </c>
      <c r="I8">
        <f t="shared" si="0"/>
        <v>-1.4834603319795092</v>
      </c>
      <c r="J8">
        <v>3</v>
      </c>
      <c r="K8">
        <v>2</v>
      </c>
      <c r="L8">
        <v>2</v>
      </c>
      <c r="M8">
        <v>1</v>
      </c>
      <c r="N8">
        <f>(223+258+235+208+159)/5</f>
        <v>216.6</v>
      </c>
      <c r="O8">
        <v>40.6</v>
      </c>
      <c r="P8">
        <v>40.6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>
        <v>55</v>
      </c>
      <c r="W8">
        <v>873</v>
      </c>
      <c r="X8">
        <v>102</v>
      </c>
      <c r="Y8">
        <v>430.5</v>
      </c>
      <c r="Z8">
        <v>0</v>
      </c>
      <c r="AA8">
        <v>1000</v>
      </c>
      <c r="AB8">
        <v>2</v>
      </c>
      <c r="AC8">
        <v>2</v>
      </c>
      <c r="AD8">
        <v>1</v>
      </c>
      <c r="AE8">
        <v>2</v>
      </c>
      <c r="AF8">
        <v>0</v>
      </c>
      <c r="AG8">
        <v>3</v>
      </c>
      <c r="AH8">
        <v>1</v>
      </c>
      <c r="AI8">
        <v>3062.44</v>
      </c>
      <c r="AJ8">
        <v>1</v>
      </c>
      <c r="AK8">
        <v>1000</v>
      </c>
    </row>
    <row r="9" spans="1:37" ht="15" thickBot="1" x14ac:dyDescent="0.35">
      <c r="A9" s="7" t="s">
        <v>26</v>
      </c>
      <c r="B9" s="34">
        <v>0.48934</v>
      </c>
      <c r="C9" s="33">
        <v>7.671E-2</v>
      </c>
      <c r="D9" s="34">
        <v>2.3327200000000001</v>
      </c>
      <c r="E9" s="33">
        <v>0.12717999999999999</v>
      </c>
      <c r="F9">
        <f t="shared" si="0"/>
        <v>-1.031090877428132</v>
      </c>
      <c r="G9">
        <f t="shared" si="0"/>
        <v>-3.7044415284740073</v>
      </c>
      <c r="H9">
        <f t="shared" si="0"/>
        <v>1.2220131487905528</v>
      </c>
      <c r="I9">
        <f t="shared" si="0"/>
        <v>-2.9750562809431131</v>
      </c>
      <c r="J9">
        <v>16</v>
      </c>
      <c r="K9">
        <v>9</v>
      </c>
      <c r="L9">
        <v>3</v>
      </c>
      <c r="M9">
        <v>2</v>
      </c>
      <c r="N9">
        <f>(262+213+286+182+148)/5</f>
        <v>218.2</v>
      </c>
      <c r="O9">
        <v>50.5</v>
      </c>
      <c r="P9">
        <v>50.5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>
        <v>291</v>
      </c>
      <c r="W9">
        <v>357</v>
      </c>
      <c r="X9">
        <v>793</v>
      </c>
      <c r="Y9">
        <v>1000</v>
      </c>
      <c r="Z9">
        <v>85</v>
      </c>
      <c r="AA9">
        <v>1000</v>
      </c>
      <c r="AB9">
        <v>2</v>
      </c>
      <c r="AC9">
        <v>2</v>
      </c>
      <c r="AD9">
        <v>2</v>
      </c>
      <c r="AE9">
        <v>3</v>
      </c>
      <c r="AF9">
        <v>2</v>
      </c>
      <c r="AG9">
        <v>2</v>
      </c>
      <c r="AH9">
        <v>2</v>
      </c>
      <c r="AI9">
        <v>1139.82</v>
      </c>
      <c r="AJ9">
        <v>1</v>
      </c>
      <c r="AK9">
        <v>653</v>
      </c>
    </row>
    <row r="10" spans="1:37" ht="15" thickBot="1" x14ac:dyDescent="0.35">
      <c r="A10" s="7" t="s">
        <v>27</v>
      </c>
      <c r="B10" s="33">
        <v>3.4000000000000002E-2</v>
      </c>
      <c r="C10" s="33">
        <v>2.4299999999999999E-3</v>
      </c>
      <c r="D10" s="36">
        <v>6.3758400000000002</v>
      </c>
      <c r="E10" s="33">
        <v>0.21024000000000001</v>
      </c>
      <c r="F10">
        <f t="shared" si="0"/>
        <v>-4.8783214434117479</v>
      </c>
      <c r="G10">
        <f t="shared" si="0"/>
        <v>-8.6848279708310319</v>
      </c>
      <c r="H10">
        <f t="shared" si="0"/>
        <v>2.6726154257363457</v>
      </c>
      <c r="I10">
        <f t="shared" si="0"/>
        <v>-2.2498909141144821</v>
      </c>
      <c r="J10">
        <v>10</v>
      </c>
      <c r="K10">
        <v>3</v>
      </c>
      <c r="L10">
        <v>3</v>
      </c>
      <c r="M10">
        <v>0</v>
      </c>
      <c r="N10">
        <v>0</v>
      </c>
      <c r="O10">
        <v>45.9</v>
      </c>
      <c r="P10">
        <v>45.9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432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61.87</v>
      </c>
      <c r="AJ10">
        <v>0</v>
      </c>
      <c r="AK10">
        <v>0</v>
      </c>
    </row>
  </sheetData>
  <conditionalFormatting sqref="F2:I10">
    <cfRule type="colorScale" priority="1">
      <colorScale>
        <cfvo type="min"/>
        <cfvo type="num" val="0"/>
        <cfvo type="max"/>
        <color rgb="FF0070C0"/>
        <color theme="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1"/>
  <sheetViews>
    <sheetView topLeftCell="B34" workbookViewId="0">
      <selection activeCell="AI1" sqref="AI1"/>
    </sheetView>
  </sheetViews>
  <sheetFormatPr defaultRowHeight="14.4" x14ac:dyDescent="0.3"/>
  <cols>
    <col min="3" max="3" width="13" customWidth="1"/>
    <col min="8" max="8" width="10.5546875" customWidth="1"/>
    <col min="12" max="12" width="10.33203125" customWidth="1"/>
    <col min="13" max="13" width="13" customWidth="1"/>
  </cols>
  <sheetData>
    <row r="1" spans="2:39" ht="40.799999999999997" thickBot="1" x14ac:dyDescent="0.35"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s="9"/>
      <c r="N1" s="9" t="s">
        <v>82</v>
      </c>
      <c r="O1" s="9" t="s">
        <v>83</v>
      </c>
      <c r="P1" s="9" t="s">
        <v>84</v>
      </c>
      <c r="Q1" s="9" t="s">
        <v>85</v>
      </c>
      <c r="R1" s="9"/>
      <c r="S1" s="10"/>
      <c r="T1" s="10"/>
      <c r="U1" t="s">
        <v>74</v>
      </c>
      <c r="V1" t="s">
        <v>76</v>
      </c>
      <c r="W1" t="s">
        <v>75</v>
      </c>
      <c r="X1" t="s">
        <v>77</v>
      </c>
      <c r="Y1" t="s">
        <v>80</v>
      </c>
      <c r="Z1" t="s">
        <v>78</v>
      </c>
      <c r="AA1" t="s">
        <v>81</v>
      </c>
      <c r="AB1" t="s">
        <v>79</v>
      </c>
      <c r="AC1" s="11"/>
      <c r="AD1" s="12"/>
      <c r="AE1" s="12"/>
      <c r="AF1" s="12"/>
      <c r="AG1" s="12"/>
      <c r="AH1" s="12"/>
      <c r="AI1" s="12"/>
      <c r="AJ1" s="12"/>
      <c r="AK1" s="13"/>
      <c r="AL1" s="15"/>
      <c r="AM1" s="14"/>
    </row>
    <row r="2" spans="2:39" ht="15" thickBot="1" x14ac:dyDescent="0.35">
      <c r="B2" s="1">
        <v>1</v>
      </c>
      <c r="C2" s="2" t="s">
        <v>0</v>
      </c>
      <c r="D2" s="32">
        <v>0.49324000000000001</v>
      </c>
      <c r="E2" s="32">
        <v>1.73482</v>
      </c>
      <c r="F2" s="35">
        <v>14.39115</v>
      </c>
      <c r="G2" s="32">
        <v>1.49366</v>
      </c>
      <c r="H2">
        <f t="shared" ref="H2:H29" si="0">LN(D2)</f>
        <v>-0.7067594079798073</v>
      </c>
      <c r="I2">
        <f t="shared" ref="I2:I29" si="1">LN(E2)</f>
        <v>0.55090366161909821</v>
      </c>
      <c r="J2">
        <f t="shared" ref="J2:J29" si="2">LN(F2)</f>
        <v>2.6666134343148706</v>
      </c>
      <c r="K2">
        <f t="shared" ref="K2" si="3">LN(G2)</f>
        <v>0.40122948383649143</v>
      </c>
      <c r="M2" s="2" t="s">
        <v>0</v>
      </c>
      <c r="N2">
        <v>-0.7067594079798073</v>
      </c>
      <c r="O2">
        <v>0.55090366161909821</v>
      </c>
      <c r="P2">
        <v>2.6666134343148706</v>
      </c>
      <c r="Q2">
        <v>0.40122948383649143</v>
      </c>
      <c r="U2">
        <v>-0.7067594079798073</v>
      </c>
      <c r="V2">
        <v>-8.3381608939051013E-2</v>
      </c>
      <c r="W2">
        <v>0.55090366161909821</v>
      </c>
      <c r="X2">
        <v>-0.19579592979597241</v>
      </c>
      <c r="Y2">
        <v>2.6666134343148706</v>
      </c>
      <c r="Z2">
        <v>-0.20877231401523696</v>
      </c>
      <c r="AA2">
        <v>0.40122948383649143</v>
      </c>
      <c r="AB2">
        <v>0.15781538515572191</v>
      </c>
    </row>
    <row r="3" spans="2:39" ht="15" thickBot="1" x14ac:dyDescent="0.35">
      <c r="B3" s="1">
        <v>2</v>
      </c>
      <c r="C3" s="2" t="s">
        <v>1</v>
      </c>
      <c r="D3" s="32">
        <v>0.85919000000000001</v>
      </c>
      <c r="E3" s="32">
        <v>1.4098900000000001</v>
      </c>
      <c r="F3" s="32">
        <v>0.92808999999999997</v>
      </c>
      <c r="G3" s="32">
        <v>1.06471</v>
      </c>
      <c r="H3">
        <f t="shared" si="0"/>
        <v>-0.15176519402897315</v>
      </c>
      <c r="I3">
        <f t="shared" si="1"/>
        <v>0.34351168716241504</v>
      </c>
      <c r="J3">
        <f t="shared" si="2"/>
        <v>-7.4626568139839519E-2</v>
      </c>
      <c r="K3">
        <f t="shared" ref="K3:K29" si="4">LN(G3)</f>
        <v>6.2702461611400556E-2</v>
      </c>
      <c r="M3" s="2" t="s">
        <v>1</v>
      </c>
      <c r="N3">
        <v>-0.15176519402897315</v>
      </c>
      <c r="O3">
        <v>0.34351168716241504</v>
      </c>
      <c r="P3">
        <v>-7.4626568139839519E-2</v>
      </c>
      <c r="Q3">
        <v>6.2702461611400556E-2</v>
      </c>
      <c r="U3">
        <v>-0.15176519402897315</v>
      </c>
      <c r="V3">
        <v>1.8405782044179029</v>
      </c>
      <c r="W3">
        <v>0.34351168716241504</v>
      </c>
      <c r="X3">
        <v>0.89967749306701195</v>
      </c>
      <c r="Y3">
        <v>-7.4626568139839519E-2</v>
      </c>
      <c r="Z3">
        <v>-1.0040234894415344E-2</v>
      </c>
      <c r="AA3">
        <v>6.2702461611400556E-2</v>
      </c>
      <c r="AB3">
        <v>1.7974847153508766</v>
      </c>
    </row>
    <row r="4" spans="2:39" ht="15" thickBot="1" x14ac:dyDescent="0.35">
      <c r="B4" s="1">
        <v>3</v>
      </c>
      <c r="C4" s="2" t="s">
        <v>2</v>
      </c>
      <c r="D4" s="34">
        <v>1.1517200000000001</v>
      </c>
      <c r="E4" s="34">
        <v>2.8121900000000002</v>
      </c>
      <c r="F4" s="34">
        <v>0.51880000000000004</v>
      </c>
      <c r="G4" s="34">
        <v>1.9710700000000001</v>
      </c>
      <c r="H4">
        <f t="shared" si="0"/>
        <v>0.14125647717535533</v>
      </c>
      <c r="I4">
        <f t="shared" si="1"/>
        <v>1.0339635392334008</v>
      </c>
      <c r="J4">
        <f t="shared" si="2"/>
        <v>-0.65623682653984816</v>
      </c>
      <c r="K4">
        <f t="shared" si="4"/>
        <v>0.67857654250696353</v>
      </c>
      <c r="M4" s="2" t="s">
        <v>2</v>
      </c>
      <c r="N4">
        <v>0.14125647717535533</v>
      </c>
      <c r="O4">
        <v>1.0339635392334008</v>
      </c>
      <c r="P4">
        <v>-0.65623682653984816</v>
      </c>
      <c r="Q4">
        <v>0.67857654250696353</v>
      </c>
      <c r="U4">
        <v>0.14125647717535533</v>
      </c>
      <c r="V4">
        <v>-0.10166734382020877</v>
      </c>
      <c r="W4">
        <v>1.0339635392334008</v>
      </c>
      <c r="X4">
        <v>1.3005066334869296E-2</v>
      </c>
      <c r="Y4">
        <v>-0.65623682653984816</v>
      </c>
      <c r="Z4">
        <v>-0.95985084662653453</v>
      </c>
      <c r="AA4">
        <v>0.67857654250696353</v>
      </c>
      <c r="AB4">
        <v>0.15519013940192078</v>
      </c>
    </row>
    <row r="5" spans="2:39" ht="15" thickBot="1" x14ac:dyDescent="0.35">
      <c r="B5" s="1">
        <v>4</v>
      </c>
      <c r="C5" s="2" t="s">
        <v>3</v>
      </c>
      <c r="D5" s="34">
        <v>0.59038000000000002</v>
      </c>
      <c r="E5" s="34">
        <v>0.68862999999999996</v>
      </c>
      <c r="F5" s="33">
        <v>0.14216000000000001</v>
      </c>
      <c r="G5" s="34">
        <v>0.50187999999999999</v>
      </c>
      <c r="H5">
        <f t="shared" si="0"/>
        <v>-0.52698888160840995</v>
      </c>
      <c r="I5">
        <f t="shared" si="1"/>
        <v>-0.37305116236972774</v>
      </c>
      <c r="J5">
        <f t="shared" si="2"/>
        <v>-1.950802095135741</v>
      </c>
      <c r="K5">
        <f t="shared" si="4"/>
        <v>-0.68939423169063807</v>
      </c>
      <c r="M5" s="2" t="s">
        <v>3</v>
      </c>
      <c r="N5">
        <v>-0.52698888160840995</v>
      </c>
      <c r="O5">
        <v>-0.37305116236972774</v>
      </c>
      <c r="P5">
        <v>-1.950802095135741</v>
      </c>
      <c r="Q5">
        <v>-0.68939423169063807</v>
      </c>
      <c r="U5">
        <v>-0.52698888160840995</v>
      </c>
      <c r="V5">
        <v>-1.0980824290685038</v>
      </c>
      <c r="W5">
        <v>-0.37305116236972774</v>
      </c>
      <c r="X5">
        <v>-0.16029786846919478</v>
      </c>
      <c r="Y5">
        <v>-1.950802095135741</v>
      </c>
      <c r="Z5">
        <v>-0.95235842103603197</v>
      </c>
      <c r="AA5">
        <v>-0.68939423169063807</v>
      </c>
      <c r="AB5">
        <v>-1.0017124639281503</v>
      </c>
    </row>
    <row r="6" spans="2:39" ht="15" thickBot="1" x14ac:dyDescent="0.35">
      <c r="B6" s="1">
        <v>5</v>
      </c>
      <c r="C6" s="2" t="s">
        <v>4</v>
      </c>
      <c r="D6" s="34">
        <v>0.74946999999999997</v>
      </c>
      <c r="E6" s="34">
        <v>0.37541999999999998</v>
      </c>
      <c r="F6" s="34">
        <v>0.26278000000000001</v>
      </c>
      <c r="G6" s="34">
        <v>0.51663999999999999</v>
      </c>
      <c r="H6">
        <f t="shared" si="0"/>
        <v>-0.28838898892503012</v>
      </c>
      <c r="I6">
        <f t="shared" si="1"/>
        <v>-0.97970987974380996</v>
      </c>
      <c r="J6">
        <f t="shared" si="2"/>
        <v>-1.336438098768461</v>
      </c>
      <c r="K6">
        <f t="shared" si="4"/>
        <v>-0.66040897197217197</v>
      </c>
      <c r="M6" s="2" t="s">
        <v>4</v>
      </c>
      <c r="N6">
        <v>-0.28838898892503012</v>
      </c>
      <c r="O6">
        <v>-0.97970987974380996</v>
      </c>
      <c r="P6">
        <v>-1.336438098768461</v>
      </c>
      <c r="Q6">
        <v>-0.66040897197217197</v>
      </c>
      <c r="U6">
        <v>-0.28838898892503012</v>
      </c>
      <c r="V6">
        <v>0.48916879850674644</v>
      </c>
      <c r="W6">
        <v>-0.97970987974380996</v>
      </c>
      <c r="X6">
        <v>1.5666634878980172E-2</v>
      </c>
      <c r="Y6">
        <v>-1.336438098768461</v>
      </c>
      <c r="Z6">
        <v>0.40357665944423277</v>
      </c>
      <c r="AA6">
        <v>-0.66040897197217197</v>
      </c>
      <c r="AB6">
        <v>0.31976922910787431</v>
      </c>
    </row>
    <row r="7" spans="2:39" ht="15" thickBot="1" x14ac:dyDescent="0.35">
      <c r="B7" s="1">
        <v>6</v>
      </c>
      <c r="C7" s="2" t="s">
        <v>5</v>
      </c>
      <c r="D7" s="34">
        <v>0.53849999999999998</v>
      </c>
      <c r="E7" s="34">
        <v>0.85670000000000002</v>
      </c>
      <c r="F7" s="33">
        <v>0.20396</v>
      </c>
      <c r="G7" s="34">
        <v>0.54981000000000002</v>
      </c>
      <c r="H7">
        <f t="shared" si="0"/>
        <v>-0.61896778238569383</v>
      </c>
      <c r="I7">
        <f t="shared" si="1"/>
        <v>-0.15466748001213876</v>
      </c>
      <c r="J7">
        <f t="shared" si="2"/>
        <v>-1.589831382795182</v>
      </c>
      <c r="K7">
        <f t="shared" si="4"/>
        <v>-0.59818251498424202</v>
      </c>
      <c r="M7" s="2" t="s">
        <v>5</v>
      </c>
      <c r="N7">
        <v>-0.61896778238569383</v>
      </c>
      <c r="O7">
        <v>-0.15466748001213876</v>
      </c>
      <c r="P7">
        <v>-1.589831382795182</v>
      </c>
      <c r="Q7">
        <v>-0.59818251498424202</v>
      </c>
      <c r="U7">
        <v>-0.61896778238569383</v>
      </c>
      <c r="V7">
        <v>1.8684355204127798E-2</v>
      </c>
      <c r="W7">
        <v>-0.15466748001213876</v>
      </c>
      <c r="X7">
        <v>0.23371942904638299</v>
      </c>
      <c r="Y7">
        <v>-1.589831382795182</v>
      </c>
      <c r="Z7">
        <v>-0.8796213475171436</v>
      </c>
      <c r="AA7">
        <v>-0.59818251498424202</v>
      </c>
      <c r="AB7">
        <v>-0.29626547131564568</v>
      </c>
    </row>
    <row r="8" spans="2:39" ht="15" thickBot="1" x14ac:dyDescent="0.35">
      <c r="B8" s="1">
        <v>7</v>
      </c>
      <c r="C8" s="2" t="s">
        <v>6</v>
      </c>
      <c r="D8" s="34">
        <v>0.55849000000000004</v>
      </c>
      <c r="E8" s="34">
        <v>0.91644999999999999</v>
      </c>
      <c r="F8" s="34">
        <v>0.74158000000000002</v>
      </c>
      <c r="G8" s="34">
        <v>0.55139000000000005</v>
      </c>
      <c r="H8">
        <f t="shared" si="0"/>
        <v>-0.58251856573613414</v>
      </c>
      <c r="I8">
        <f t="shared" si="1"/>
        <v>-8.7247768564280195E-2</v>
      </c>
      <c r="J8">
        <f t="shared" si="2"/>
        <v>-0.29897223381044308</v>
      </c>
      <c r="K8">
        <f t="shared" si="4"/>
        <v>-0.59531291621159066</v>
      </c>
      <c r="M8" s="2" t="s">
        <v>6</v>
      </c>
      <c r="N8">
        <v>-0.58251856573613414</v>
      </c>
      <c r="O8">
        <v>-8.7247768564280195E-2</v>
      </c>
      <c r="P8">
        <v>-0.29897223381044308</v>
      </c>
      <c r="Q8">
        <v>-0.59531291621159066</v>
      </c>
      <c r="U8">
        <v>-0.58251856573613414</v>
      </c>
      <c r="V8">
        <v>-0.39366500399241389</v>
      </c>
      <c r="W8">
        <v>-8.7247768564280195E-2</v>
      </c>
      <c r="X8">
        <v>-0.1504043726739048</v>
      </c>
      <c r="Y8">
        <v>-0.29897223381044308</v>
      </c>
      <c r="Z8">
        <v>-0.16844232054412317</v>
      </c>
      <c r="AA8">
        <v>-0.59531291621159066</v>
      </c>
      <c r="AB8">
        <v>-0.47879415293532696</v>
      </c>
    </row>
    <row r="9" spans="2:39" ht="15" thickBot="1" x14ac:dyDescent="0.35">
      <c r="B9" s="1">
        <v>8</v>
      </c>
      <c r="C9" s="2" t="s">
        <v>7</v>
      </c>
      <c r="D9" s="34">
        <v>0.99517999999999995</v>
      </c>
      <c r="E9" s="34">
        <v>1.1746799999999999</v>
      </c>
      <c r="F9" s="34">
        <v>1.6784699999999999</v>
      </c>
      <c r="G9" s="34">
        <v>1.3965399999999999</v>
      </c>
      <c r="H9">
        <f t="shared" si="0"/>
        <v>-4.8316536621812282E-3</v>
      </c>
      <c r="I9">
        <f t="shared" si="1"/>
        <v>0.16099577007920216</v>
      </c>
      <c r="J9">
        <f t="shared" si="2"/>
        <v>0.51788266417724371</v>
      </c>
      <c r="K9">
        <f t="shared" si="4"/>
        <v>0.33399774902905222</v>
      </c>
      <c r="M9" s="2" t="s">
        <v>7</v>
      </c>
      <c r="N9">
        <v>-4.8316536621812282E-3</v>
      </c>
      <c r="O9">
        <v>0.16099577007920216</v>
      </c>
      <c r="P9">
        <v>0.51788266417724371</v>
      </c>
      <c r="Q9">
        <v>0.33399774902905222</v>
      </c>
      <c r="U9">
        <v>-4.8316536621812282E-3</v>
      </c>
      <c r="V9">
        <v>8.0657903017454541E-2</v>
      </c>
      <c r="W9">
        <v>0.16099577007920216</v>
      </c>
      <c r="X9">
        <v>0.24469367046455973</v>
      </c>
      <c r="Y9">
        <v>0.51788266417724371</v>
      </c>
      <c r="Z9">
        <v>-1.486247301878902</v>
      </c>
      <c r="AA9">
        <v>0.33399774902905222</v>
      </c>
      <c r="AB9">
        <v>0.32037914903848874</v>
      </c>
    </row>
    <row r="10" spans="2:39" ht="15" thickBot="1" x14ac:dyDescent="0.35">
      <c r="B10" s="1">
        <v>9</v>
      </c>
      <c r="C10" s="2" t="s">
        <v>8</v>
      </c>
      <c r="D10" s="34">
        <v>3.0035400000000001</v>
      </c>
      <c r="E10" s="34">
        <v>1.81942</v>
      </c>
      <c r="F10" s="34">
        <v>2.3390599999999999</v>
      </c>
      <c r="G10" s="34">
        <v>1.71038</v>
      </c>
      <c r="H10">
        <f t="shared" si="0"/>
        <v>1.0997915930153028</v>
      </c>
      <c r="I10">
        <f t="shared" si="1"/>
        <v>0.59851776898034048</v>
      </c>
      <c r="J10">
        <f t="shared" si="2"/>
        <v>0.84974913926106443</v>
      </c>
      <c r="K10">
        <f t="shared" si="4"/>
        <v>0.53671556804909004</v>
      </c>
      <c r="M10" s="2" t="s">
        <v>8</v>
      </c>
      <c r="N10">
        <v>1.0997915930153028</v>
      </c>
      <c r="O10">
        <v>0.59851776898034048</v>
      </c>
      <c r="P10">
        <v>0.84974913926106443</v>
      </c>
      <c r="Q10">
        <v>0.53671556804909004</v>
      </c>
      <c r="U10">
        <v>1.0997915930153028</v>
      </c>
      <c r="V10">
        <v>0.36826847844843968</v>
      </c>
      <c r="W10">
        <v>0.59851776898034048</v>
      </c>
      <c r="X10">
        <v>-0.27066764229265144</v>
      </c>
      <c r="Y10">
        <v>0.84974913926106443</v>
      </c>
      <c r="Z10">
        <v>-0.85409088079480544</v>
      </c>
      <c r="AA10">
        <v>0.53671556804909004</v>
      </c>
      <c r="AB10">
        <v>-8.5416286187271984E-2</v>
      </c>
    </row>
    <row r="11" spans="2:39" ht="15" thickBot="1" x14ac:dyDescent="0.35">
      <c r="B11" s="1">
        <v>10</v>
      </c>
      <c r="C11" s="2" t="s">
        <v>9</v>
      </c>
      <c r="D11" s="34">
        <v>0.39123000000000002</v>
      </c>
      <c r="E11" s="34">
        <v>0.41371000000000002</v>
      </c>
      <c r="F11" s="34">
        <v>12.64434</v>
      </c>
      <c r="G11" s="34">
        <v>0.72962000000000005</v>
      </c>
      <c r="H11">
        <f t="shared" si="0"/>
        <v>-0.93845965664521691</v>
      </c>
      <c r="I11">
        <f t="shared" si="1"/>
        <v>-0.88259003370152145</v>
      </c>
      <c r="J11">
        <f t="shared" si="2"/>
        <v>2.5372096842164482</v>
      </c>
      <c r="K11">
        <f t="shared" si="4"/>
        <v>-0.31523142831702328</v>
      </c>
      <c r="M11" s="2" t="s">
        <v>9</v>
      </c>
      <c r="N11">
        <v>-0.93845965664521691</v>
      </c>
      <c r="O11">
        <v>-0.88259003370152145</v>
      </c>
      <c r="P11">
        <v>2.5372096842164482</v>
      </c>
      <c r="Q11">
        <v>-0.31523142831702328</v>
      </c>
      <c r="U11">
        <v>-0.93845965664521691</v>
      </c>
      <c r="V11">
        <v>-0.31304090691867109</v>
      </c>
      <c r="W11">
        <v>-0.88259003370152145</v>
      </c>
      <c r="X11">
        <v>-0.31717954324080405</v>
      </c>
      <c r="Y11">
        <v>2.5372096842164482</v>
      </c>
      <c r="Z11">
        <v>-0.50884425464152105</v>
      </c>
      <c r="AA11">
        <v>-0.31523142831702328</v>
      </c>
      <c r="AB11">
        <v>4.8294803403305851E-2</v>
      </c>
    </row>
    <row r="12" spans="2:39" ht="15" thickBot="1" x14ac:dyDescent="0.35">
      <c r="B12" s="1">
        <v>11</v>
      </c>
      <c r="C12" s="2" t="s">
        <v>10</v>
      </c>
      <c r="D12" s="34">
        <v>0.55723999999999996</v>
      </c>
      <c r="E12" s="34">
        <v>0.72794999999999999</v>
      </c>
      <c r="F12" s="34">
        <v>3.1029399999999998</v>
      </c>
      <c r="G12" s="34">
        <v>0.67288000000000003</v>
      </c>
      <c r="H12">
        <f t="shared" si="0"/>
        <v>-0.58475925214411295</v>
      </c>
      <c r="I12">
        <f t="shared" si="1"/>
        <v>-0.31752291446280217</v>
      </c>
      <c r="J12">
        <f t="shared" si="2"/>
        <v>1.1323500491529683</v>
      </c>
      <c r="K12">
        <f t="shared" si="4"/>
        <v>-0.39618827132795514</v>
      </c>
      <c r="M12" s="2" t="s">
        <v>10</v>
      </c>
      <c r="N12">
        <v>-0.58475925214411295</v>
      </c>
      <c r="O12">
        <v>-0.31752291446280217</v>
      </c>
      <c r="P12">
        <v>1.1323500491529683</v>
      </c>
      <c r="Q12">
        <v>-0.39618827132795514</v>
      </c>
      <c r="U12">
        <v>-0.58475925214411295</v>
      </c>
      <c r="V12">
        <v>-0.91851821086450669</v>
      </c>
      <c r="W12">
        <v>-0.31752291446280217</v>
      </c>
      <c r="X12">
        <v>-0.17093067986727556</v>
      </c>
      <c r="Y12">
        <v>1.1323500491529683</v>
      </c>
      <c r="Z12">
        <v>-0.30966868290393362</v>
      </c>
      <c r="AA12">
        <v>-0.39618827132795514</v>
      </c>
      <c r="AB12">
        <v>-0.19156010102733273</v>
      </c>
    </row>
    <row r="13" spans="2:39" ht="15" thickBot="1" x14ac:dyDescent="0.35">
      <c r="B13" s="1">
        <v>12</v>
      </c>
      <c r="C13" s="2" t="s">
        <v>11</v>
      </c>
      <c r="D13" s="34">
        <v>0.44663999999999998</v>
      </c>
      <c r="E13" s="34">
        <v>2.5320999999999998</v>
      </c>
      <c r="F13" s="34">
        <v>1.74682</v>
      </c>
      <c r="G13" s="34">
        <v>0.75224000000000002</v>
      </c>
      <c r="H13">
        <f t="shared" si="0"/>
        <v>-0.80600237798003205</v>
      </c>
      <c r="I13">
        <f t="shared" si="1"/>
        <v>0.9290489979728177</v>
      </c>
      <c r="J13">
        <f t="shared" si="2"/>
        <v>0.55779699207139488</v>
      </c>
      <c r="K13">
        <f t="shared" si="4"/>
        <v>-0.28469985701331557</v>
      </c>
      <c r="M13" s="2" t="s">
        <v>11</v>
      </c>
      <c r="N13">
        <v>-0.80600237798003205</v>
      </c>
      <c r="O13">
        <v>0.9290489979728177</v>
      </c>
      <c r="P13">
        <v>0.55779699207139488</v>
      </c>
      <c r="Q13">
        <v>-0.28469985701331557</v>
      </c>
      <c r="U13">
        <v>-0.80600237798003205</v>
      </c>
      <c r="W13">
        <v>0.9290489979728177</v>
      </c>
      <c r="Y13">
        <v>0.55779699207139488</v>
      </c>
      <c r="AA13">
        <v>-0.28469985701331557</v>
      </c>
    </row>
    <row r="14" spans="2:39" ht="15" thickBot="1" x14ac:dyDescent="0.35">
      <c r="B14" s="1">
        <v>13</v>
      </c>
      <c r="C14" s="2" t="s">
        <v>12</v>
      </c>
      <c r="D14" s="34">
        <v>0.54001999999999994</v>
      </c>
      <c r="E14" s="34">
        <v>1.2650399999999999</v>
      </c>
      <c r="F14" s="34">
        <v>8.2638099999999994</v>
      </c>
      <c r="G14" s="34">
        <v>0.35971999999999998</v>
      </c>
      <c r="H14">
        <f t="shared" si="0"/>
        <v>-0.61614910307263415</v>
      </c>
      <c r="I14">
        <f t="shared" si="1"/>
        <v>0.23510374223292405</v>
      </c>
      <c r="J14">
        <f t="shared" si="2"/>
        <v>2.1118857402655213</v>
      </c>
      <c r="K14">
        <f t="shared" si="4"/>
        <v>-1.0224293279358223</v>
      </c>
      <c r="M14" s="2" t="s">
        <v>12</v>
      </c>
      <c r="N14">
        <v>-0.61614910307263415</v>
      </c>
      <c r="O14">
        <v>0.23510374223292405</v>
      </c>
      <c r="P14">
        <v>2.1118857402655213</v>
      </c>
      <c r="Q14">
        <v>-1.0224293279358223</v>
      </c>
      <c r="U14">
        <v>-0.61614910307263415</v>
      </c>
      <c r="W14">
        <v>0.23510374223292405</v>
      </c>
      <c r="Y14">
        <v>2.1118857402655213</v>
      </c>
      <c r="AA14">
        <v>-1.0224293279358223</v>
      </c>
    </row>
    <row r="15" spans="2:39" ht="15" thickBot="1" x14ac:dyDescent="0.35">
      <c r="B15" s="1">
        <v>14</v>
      </c>
      <c r="C15" s="2" t="s">
        <v>13</v>
      </c>
      <c r="D15" s="34">
        <v>0.58877000000000002</v>
      </c>
      <c r="E15" s="34">
        <v>0.96967000000000003</v>
      </c>
      <c r="F15" s="34">
        <v>0.84923999999999999</v>
      </c>
      <c r="G15" s="34">
        <v>0.51741000000000004</v>
      </c>
      <c r="H15">
        <f t="shared" si="0"/>
        <v>-0.52971966395247783</v>
      </c>
      <c r="I15">
        <f t="shared" si="1"/>
        <v>-3.0799471553528406E-2</v>
      </c>
      <c r="J15">
        <f t="shared" si="2"/>
        <v>-0.1634134471064434</v>
      </c>
      <c r="K15">
        <f t="shared" si="4"/>
        <v>-0.65891968201071804</v>
      </c>
      <c r="M15" s="2" t="s">
        <v>13</v>
      </c>
      <c r="N15">
        <v>-0.52971966395247783</v>
      </c>
      <c r="O15">
        <v>-3.0799471553528406E-2</v>
      </c>
      <c r="P15">
        <v>-0.1634134471064434</v>
      </c>
      <c r="Q15">
        <v>-0.65891968201071804</v>
      </c>
      <c r="U15">
        <v>-0.52971966395247783</v>
      </c>
      <c r="W15">
        <v>-3.0799471553528406E-2</v>
      </c>
      <c r="Y15">
        <v>-0.1634134471064434</v>
      </c>
      <c r="AA15">
        <v>-0.65891968201071804</v>
      </c>
    </row>
    <row r="16" spans="2:39" ht="15" thickBot="1" x14ac:dyDescent="0.35">
      <c r="B16" s="1">
        <v>15</v>
      </c>
      <c r="C16" s="2" t="s">
        <v>14</v>
      </c>
      <c r="D16" s="34">
        <v>0.85279000000000005</v>
      </c>
      <c r="E16" s="34">
        <v>1.0033399999999999</v>
      </c>
      <c r="F16" s="34">
        <v>3.34423</v>
      </c>
      <c r="G16" s="34">
        <v>1.12944</v>
      </c>
      <c r="H16">
        <f t="shared" si="0"/>
        <v>-0.15924195171810715</v>
      </c>
      <c r="I16">
        <f t="shared" si="1"/>
        <v>3.3344345888722798E-3</v>
      </c>
      <c r="J16">
        <f t="shared" si="2"/>
        <v>1.2072364727615323</v>
      </c>
      <c r="K16">
        <f t="shared" si="4"/>
        <v>0.121721934665025</v>
      </c>
      <c r="M16" s="2" t="s">
        <v>14</v>
      </c>
      <c r="N16">
        <v>-0.15924195171810715</v>
      </c>
      <c r="O16">
        <v>3.3344345888722798E-3</v>
      </c>
      <c r="P16">
        <v>1.2072364727615323</v>
      </c>
      <c r="Q16">
        <v>0.121721934665025</v>
      </c>
      <c r="U16">
        <v>-0.15924195171810715</v>
      </c>
      <c r="W16">
        <v>3.3344345888722798E-3</v>
      </c>
      <c r="Y16">
        <v>1.2072364727615323</v>
      </c>
      <c r="AA16">
        <v>0.121721934665025</v>
      </c>
    </row>
    <row r="17" spans="2:37" ht="15" thickBot="1" x14ac:dyDescent="0.35">
      <c r="B17" s="1">
        <v>16</v>
      </c>
      <c r="C17" s="2" t="s">
        <v>15</v>
      </c>
      <c r="D17" s="34">
        <v>0.92</v>
      </c>
      <c r="E17" s="34">
        <v>0.82218000000000002</v>
      </c>
      <c r="F17" s="34">
        <v>0.81157999999999997</v>
      </c>
      <c r="G17" s="34">
        <v>1.1709499999999999</v>
      </c>
      <c r="H17">
        <f t="shared" si="0"/>
        <v>-8.3381608939051013E-2</v>
      </c>
      <c r="I17">
        <f t="shared" si="1"/>
        <v>-0.19579592979597241</v>
      </c>
      <c r="J17">
        <f t="shared" si="2"/>
        <v>-0.20877231401523696</v>
      </c>
      <c r="K17">
        <f t="shared" si="4"/>
        <v>0.15781538515572191</v>
      </c>
      <c r="M17" s="41" t="s">
        <v>19</v>
      </c>
      <c r="N17">
        <v>3.4391764834907843E-2</v>
      </c>
      <c r="O17">
        <v>-8.7913602054105672E-2</v>
      </c>
      <c r="P17">
        <v>-1.0454317761973848</v>
      </c>
      <c r="Q17">
        <v>-1.0203465434730432</v>
      </c>
      <c r="U17">
        <v>3.4391764834907843E-2</v>
      </c>
      <c r="W17">
        <v>-8.7913602054105672E-2</v>
      </c>
      <c r="Y17">
        <v>-1.0454317761973848</v>
      </c>
      <c r="AA17">
        <v>-1.0203465434730432</v>
      </c>
      <c r="AK17" s="42" t="s">
        <v>86</v>
      </c>
    </row>
    <row r="18" spans="2:37" ht="15" thickBot="1" x14ac:dyDescent="0.35">
      <c r="B18" s="1">
        <v>17</v>
      </c>
      <c r="C18" s="2" t="s">
        <v>16</v>
      </c>
      <c r="D18" s="36">
        <v>6.3001800000000001</v>
      </c>
      <c r="E18" s="34">
        <v>2.4588100000000002</v>
      </c>
      <c r="F18" s="34">
        <v>0.99000999999999995</v>
      </c>
      <c r="G18" s="36">
        <v>6.0344499999999996</v>
      </c>
      <c r="H18">
        <f t="shared" si="0"/>
        <v>1.8405782044179029</v>
      </c>
      <c r="I18">
        <f t="shared" si="1"/>
        <v>0.89967749306701195</v>
      </c>
      <c r="J18">
        <f t="shared" si="2"/>
        <v>-1.0040234894415344E-2</v>
      </c>
      <c r="K18">
        <f t="shared" si="4"/>
        <v>1.7974847153508766</v>
      </c>
      <c r="M18" s="41" t="s">
        <v>20</v>
      </c>
      <c r="N18">
        <v>-0.3550049106495119</v>
      </c>
      <c r="O18">
        <v>0.42748749214265708</v>
      </c>
      <c r="P18">
        <v>-0.56222418685199094</v>
      </c>
      <c r="Q18">
        <v>-0.20178576136156634</v>
      </c>
      <c r="U18">
        <v>-0.3550049106495119</v>
      </c>
      <c r="W18">
        <v>0.42748749214265708</v>
      </c>
      <c r="Y18">
        <v>-0.56222418685199094</v>
      </c>
      <c r="AA18">
        <v>-0.20178576136156634</v>
      </c>
    </row>
    <row r="19" spans="2:37" ht="15" thickBot="1" x14ac:dyDescent="0.35">
      <c r="B19" s="1">
        <v>18</v>
      </c>
      <c r="C19" s="2" t="s">
        <v>17</v>
      </c>
      <c r="D19" s="34">
        <v>0.90332999999999997</v>
      </c>
      <c r="E19" s="34">
        <v>1.01309</v>
      </c>
      <c r="F19" s="34">
        <v>0.38295000000000001</v>
      </c>
      <c r="G19" s="34">
        <v>1.16788</v>
      </c>
      <c r="H19">
        <f t="shared" si="0"/>
        <v>-0.10166734382020877</v>
      </c>
      <c r="I19">
        <f t="shared" si="1"/>
        <v>1.3005066334869296E-2</v>
      </c>
      <c r="J19">
        <f t="shared" si="2"/>
        <v>-0.95985084662653453</v>
      </c>
      <c r="K19">
        <f t="shared" si="4"/>
        <v>0.15519013940192078</v>
      </c>
      <c r="M19" s="7" t="s">
        <v>15</v>
      </c>
      <c r="N19">
        <v>-8.3381608939051013E-2</v>
      </c>
      <c r="O19">
        <v>-0.19579592979597241</v>
      </c>
      <c r="P19">
        <v>-0.20877231401523696</v>
      </c>
      <c r="Q19">
        <v>0.15781538515572191</v>
      </c>
    </row>
    <row r="20" spans="2:37" ht="15" thickBot="1" x14ac:dyDescent="0.35">
      <c r="B20" s="1">
        <v>19</v>
      </c>
      <c r="C20" s="2" t="s">
        <v>18</v>
      </c>
      <c r="D20" s="34">
        <v>0.33350999999999997</v>
      </c>
      <c r="E20" s="34">
        <v>0.85189000000000004</v>
      </c>
      <c r="F20" s="34">
        <v>0.38583000000000001</v>
      </c>
      <c r="G20" s="34">
        <v>0.36725000000000002</v>
      </c>
      <c r="H20">
        <f t="shared" si="0"/>
        <v>-1.0980824290685038</v>
      </c>
      <c r="I20">
        <f t="shared" si="1"/>
        <v>-0.16029786846919478</v>
      </c>
      <c r="J20">
        <f t="shared" si="2"/>
        <v>-0.95235842103603197</v>
      </c>
      <c r="K20">
        <f t="shared" si="4"/>
        <v>-1.0017124639281503</v>
      </c>
      <c r="M20" s="7" t="s">
        <v>16</v>
      </c>
      <c r="N20">
        <v>1.8405782044179029</v>
      </c>
      <c r="O20">
        <v>0.89967749306701195</v>
      </c>
      <c r="P20">
        <v>-1.0040234894415344E-2</v>
      </c>
      <c r="Q20">
        <v>1.7974847153508766</v>
      </c>
    </row>
    <row r="21" spans="2:37" ht="15" thickBot="1" x14ac:dyDescent="0.35">
      <c r="B21" s="6">
        <v>20</v>
      </c>
      <c r="C21" s="7" t="s">
        <v>19</v>
      </c>
      <c r="D21" s="34">
        <v>1.0349900000000001</v>
      </c>
      <c r="E21" s="34">
        <v>0.91583999999999999</v>
      </c>
      <c r="F21" s="34">
        <v>0.35154000000000002</v>
      </c>
      <c r="G21" s="34">
        <v>0.36047000000000001</v>
      </c>
      <c r="H21">
        <f t="shared" si="0"/>
        <v>3.4391764834907843E-2</v>
      </c>
      <c r="I21">
        <f t="shared" si="1"/>
        <v>-8.7913602054105672E-2</v>
      </c>
      <c r="J21">
        <f t="shared" si="2"/>
        <v>-1.0454317761973848</v>
      </c>
      <c r="K21">
        <f t="shared" si="4"/>
        <v>-1.0203465434730432</v>
      </c>
      <c r="M21" s="7" t="s">
        <v>17</v>
      </c>
      <c r="N21">
        <v>-0.10166734382020877</v>
      </c>
      <c r="O21">
        <v>1.3005066334869296E-2</v>
      </c>
      <c r="P21">
        <v>-0.95985084662653453</v>
      </c>
      <c r="Q21">
        <v>0.15519013940192078</v>
      </c>
    </row>
    <row r="22" spans="2:37" ht="15" thickBot="1" x14ac:dyDescent="0.35">
      <c r="B22" s="6">
        <v>21</v>
      </c>
      <c r="C22" s="7" t="s">
        <v>20</v>
      </c>
      <c r="D22" s="34">
        <v>0.70116999999999996</v>
      </c>
      <c r="E22" s="34">
        <v>1.5334000000000001</v>
      </c>
      <c r="F22" s="34">
        <v>0.56994</v>
      </c>
      <c r="G22" s="34">
        <v>0.81727000000000005</v>
      </c>
      <c r="H22">
        <f t="shared" si="0"/>
        <v>-0.3550049106495119</v>
      </c>
      <c r="I22">
        <f t="shared" si="1"/>
        <v>0.42748749214265708</v>
      </c>
      <c r="J22">
        <f t="shared" si="2"/>
        <v>-0.56222418685199094</v>
      </c>
      <c r="K22">
        <f t="shared" si="4"/>
        <v>-0.20178576136156634</v>
      </c>
      <c r="M22" s="7" t="s">
        <v>18</v>
      </c>
      <c r="N22">
        <v>-1.0980824290685038</v>
      </c>
      <c r="O22">
        <v>-0.16029786846919478</v>
      </c>
      <c r="P22">
        <v>-0.95235842103603197</v>
      </c>
      <c r="Q22">
        <v>-1.0017124639281503</v>
      </c>
    </row>
    <row r="23" spans="2:37" ht="15" thickBot="1" x14ac:dyDescent="0.35">
      <c r="B23" s="6">
        <v>23</v>
      </c>
      <c r="C23" s="7" t="s">
        <v>21</v>
      </c>
      <c r="D23" s="34">
        <v>1.63096</v>
      </c>
      <c r="E23" s="34">
        <v>1.01579</v>
      </c>
      <c r="F23" s="34">
        <v>1.4971699999999999</v>
      </c>
      <c r="G23" s="34">
        <v>1.3768100000000001</v>
      </c>
      <c r="H23">
        <f t="shared" si="0"/>
        <v>0.48916879850674644</v>
      </c>
      <c r="I23">
        <f t="shared" si="1"/>
        <v>1.5666634878980172E-2</v>
      </c>
      <c r="J23">
        <f t="shared" si="2"/>
        <v>0.40357665944423277</v>
      </c>
      <c r="K23">
        <f t="shared" si="4"/>
        <v>0.31976922910787431</v>
      </c>
      <c r="M23" s="7" t="s">
        <v>21</v>
      </c>
      <c r="N23">
        <v>0.48916879850674644</v>
      </c>
      <c r="O23">
        <v>1.5666634878980172E-2</v>
      </c>
      <c r="P23">
        <v>0.40357665944423277</v>
      </c>
      <c r="Q23">
        <v>0.31976922910787431</v>
      </c>
    </row>
    <row r="24" spans="2:37" ht="15" thickBot="1" x14ac:dyDescent="0.35">
      <c r="B24" s="6">
        <v>24</v>
      </c>
      <c r="C24" s="7" t="s">
        <v>22</v>
      </c>
      <c r="D24" s="34">
        <v>1.0188600000000001</v>
      </c>
      <c r="E24" s="34">
        <v>1.26329</v>
      </c>
      <c r="F24" s="34">
        <v>0.41493999999999998</v>
      </c>
      <c r="G24" s="34">
        <v>0.74358999999999997</v>
      </c>
      <c r="H24">
        <f t="shared" si="0"/>
        <v>1.8684355204127798E-2</v>
      </c>
      <c r="I24">
        <f t="shared" si="1"/>
        <v>0.23371942904638299</v>
      </c>
      <c r="J24">
        <f t="shared" si="2"/>
        <v>-0.8796213475171436</v>
      </c>
      <c r="K24">
        <f t="shared" si="4"/>
        <v>-0.29626547131564568</v>
      </c>
      <c r="M24" s="7" t="s">
        <v>22</v>
      </c>
      <c r="N24">
        <v>1.8684355204127798E-2</v>
      </c>
      <c r="O24">
        <v>0.23371942904638299</v>
      </c>
      <c r="P24">
        <v>-0.8796213475171436</v>
      </c>
      <c r="Q24">
        <v>-0.29626547131564568</v>
      </c>
    </row>
    <row r="25" spans="2:37" ht="15" thickBot="1" x14ac:dyDescent="0.35">
      <c r="B25" s="6">
        <v>25</v>
      </c>
      <c r="C25" s="7" t="s">
        <v>23</v>
      </c>
      <c r="D25" s="34">
        <v>0.67457999999999996</v>
      </c>
      <c r="E25" s="34">
        <v>0.86036000000000001</v>
      </c>
      <c r="F25" s="34">
        <v>0.84497999999999995</v>
      </c>
      <c r="G25" s="34">
        <v>0.61953000000000003</v>
      </c>
      <c r="H25">
        <f t="shared" si="0"/>
        <v>-0.39366500399241389</v>
      </c>
      <c r="I25">
        <f t="shared" si="1"/>
        <v>-0.1504043726739048</v>
      </c>
      <c r="J25">
        <f t="shared" si="2"/>
        <v>-0.16844232054412317</v>
      </c>
      <c r="K25">
        <f t="shared" si="4"/>
        <v>-0.47879415293532696</v>
      </c>
      <c r="M25" s="7" t="s">
        <v>23</v>
      </c>
      <c r="N25">
        <v>-0.39366500399241389</v>
      </c>
      <c r="O25">
        <v>-0.1504043726739048</v>
      </c>
      <c r="P25">
        <v>-0.16844232054412317</v>
      </c>
      <c r="Q25">
        <v>-0.47879415293532696</v>
      </c>
    </row>
    <row r="26" spans="2:37" ht="15" thickBot="1" x14ac:dyDescent="0.35">
      <c r="B26" s="6">
        <v>26</v>
      </c>
      <c r="C26" s="7" t="s">
        <v>24</v>
      </c>
      <c r="D26" s="34">
        <v>1.0840000000000001</v>
      </c>
      <c r="E26" s="34">
        <v>1.2772300000000001</v>
      </c>
      <c r="F26" s="33">
        <v>0.22622</v>
      </c>
      <c r="G26" s="34">
        <v>1.37765</v>
      </c>
      <c r="H26">
        <f t="shared" si="0"/>
        <v>8.0657903017454541E-2</v>
      </c>
      <c r="I26">
        <f t="shared" si="1"/>
        <v>0.24469367046455973</v>
      </c>
      <c r="J26">
        <f t="shared" si="2"/>
        <v>-1.486247301878902</v>
      </c>
      <c r="K26">
        <f t="shared" si="4"/>
        <v>0.32037914903848874</v>
      </c>
      <c r="M26" s="7" t="s">
        <v>24</v>
      </c>
      <c r="N26">
        <v>8.0657903017454541E-2</v>
      </c>
      <c r="O26">
        <v>0.24469367046455973</v>
      </c>
      <c r="P26">
        <v>-1.486247301878902</v>
      </c>
      <c r="Q26">
        <v>0.32037914903848874</v>
      </c>
    </row>
    <row r="27" spans="2:37" ht="15" thickBot="1" x14ac:dyDescent="0.35">
      <c r="B27" s="6">
        <v>27</v>
      </c>
      <c r="C27" s="7" t="s">
        <v>25</v>
      </c>
      <c r="D27" s="34">
        <v>1.44523</v>
      </c>
      <c r="E27" s="34">
        <v>0.76287000000000005</v>
      </c>
      <c r="F27" s="34">
        <v>0.42566999999999999</v>
      </c>
      <c r="G27" s="34">
        <v>0.91813</v>
      </c>
      <c r="H27">
        <f t="shared" si="0"/>
        <v>0.36826847844843968</v>
      </c>
      <c r="I27">
        <f t="shared" si="1"/>
        <v>-0.27066764229265144</v>
      </c>
      <c r="J27">
        <f t="shared" si="2"/>
        <v>-0.85409088079480544</v>
      </c>
      <c r="K27">
        <f t="shared" si="4"/>
        <v>-8.5416286187271984E-2</v>
      </c>
      <c r="M27" s="7" t="s">
        <v>25</v>
      </c>
      <c r="N27">
        <v>0.36826847844843968</v>
      </c>
      <c r="O27">
        <v>-0.27066764229265144</v>
      </c>
      <c r="P27">
        <v>-0.85409088079480544</v>
      </c>
      <c r="Q27">
        <v>-8.5416286187271984E-2</v>
      </c>
    </row>
    <row r="28" spans="2:37" ht="15" thickBot="1" x14ac:dyDescent="0.35">
      <c r="B28" s="6">
        <v>28</v>
      </c>
      <c r="C28" s="7" t="s">
        <v>26</v>
      </c>
      <c r="D28" s="34">
        <v>0.73121999999999998</v>
      </c>
      <c r="E28" s="34">
        <v>0.72819999999999996</v>
      </c>
      <c r="F28" s="34">
        <v>0.60119</v>
      </c>
      <c r="G28" s="34">
        <v>1.04948</v>
      </c>
      <c r="H28">
        <f t="shared" si="0"/>
        <v>-0.31304090691867109</v>
      </c>
      <c r="I28">
        <f t="shared" si="1"/>
        <v>-0.31717954324080405</v>
      </c>
      <c r="J28">
        <f t="shared" si="2"/>
        <v>-0.50884425464152105</v>
      </c>
      <c r="K28">
        <f t="shared" si="4"/>
        <v>4.8294803403305851E-2</v>
      </c>
      <c r="M28" s="7" t="s">
        <v>26</v>
      </c>
      <c r="N28">
        <v>-0.31304090691867109</v>
      </c>
      <c r="O28">
        <v>-0.31717954324080405</v>
      </c>
      <c r="P28">
        <v>-0.50884425464152105</v>
      </c>
      <c r="Q28">
        <v>4.8294803403305851E-2</v>
      </c>
    </row>
    <row r="29" spans="2:37" ht="15" thickBot="1" x14ac:dyDescent="0.35">
      <c r="B29" s="6">
        <v>29</v>
      </c>
      <c r="C29" s="7" t="s">
        <v>27</v>
      </c>
      <c r="D29" s="34">
        <v>0.39911000000000002</v>
      </c>
      <c r="E29" s="34">
        <v>0.84287999999999996</v>
      </c>
      <c r="F29" s="34">
        <v>0.73368999999999995</v>
      </c>
      <c r="G29" s="34">
        <v>0.82567000000000002</v>
      </c>
      <c r="H29">
        <f t="shared" si="0"/>
        <v>-0.91851821086450669</v>
      </c>
      <c r="I29">
        <f t="shared" si="1"/>
        <v>-0.17093067986727556</v>
      </c>
      <c r="J29">
        <f t="shared" si="2"/>
        <v>-0.30966868290393362</v>
      </c>
      <c r="K29">
        <f t="shared" si="4"/>
        <v>-0.19156010102733273</v>
      </c>
      <c r="M29" s="7" t="s">
        <v>27</v>
      </c>
      <c r="N29">
        <v>-0.91851821086450669</v>
      </c>
      <c r="O29">
        <v>-0.17093067986727556</v>
      </c>
      <c r="P29">
        <v>-0.30966868290393362</v>
      </c>
      <c r="Q29">
        <v>-0.19156010102733273</v>
      </c>
    </row>
    <row r="30" spans="2:37" ht="15" thickBot="1" x14ac:dyDescent="0.35">
      <c r="B30" s="1"/>
      <c r="C30" s="2"/>
      <c r="M30" s="2"/>
    </row>
    <row r="31" spans="2:37" ht="15" thickBot="1" x14ac:dyDescent="0.35">
      <c r="B31" s="1"/>
      <c r="C31" s="2"/>
      <c r="M31" s="2"/>
    </row>
    <row r="33" spans="5:14" ht="15" thickBot="1" x14ac:dyDescent="0.35"/>
    <row r="34" spans="5:14" ht="15" thickBot="1" x14ac:dyDescent="0.35">
      <c r="E34" s="2"/>
      <c r="F34" s="40"/>
      <c r="G34" t="s">
        <v>74</v>
      </c>
      <c r="H34" t="s">
        <v>76</v>
      </c>
      <c r="I34" t="s">
        <v>75</v>
      </c>
      <c r="J34" t="s">
        <v>77</v>
      </c>
      <c r="K34" t="s">
        <v>80</v>
      </c>
      <c r="L34" t="s">
        <v>78</v>
      </c>
      <c r="M34" t="s">
        <v>81</v>
      </c>
      <c r="N34" t="s">
        <v>79</v>
      </c>
    </row>
    <row r="35" spans="5:14" ht="15" thickBot="1" x14ac:dyDescent="0.35">
      <c r="E35" s="2"/>
      <c r="F35" s="37"/>
      <c r="G35">
        <v>-0.7067594079798073</v>
      </c>
      <c r="H35">
        <v>3.4391764834907843E-2</v>
      </c>
      <c r="I35">
        <v>0.55090366161909821</v>
      </c>
      <c r="J35">
        <v>-8.7913602054105672E-2</v>
      </c>
      <c r="K35">
        <v>2.6666134343148706</v>
      </c>
      <c r="L35">
        <v>-1.0454317761973848</v>
      </c>
      <c r="M35">
        <v>0.40122948383649143</v>
      </c>
      <c r="N35">
        <v>-1.0203465434730432</v>
      </c>
    </row>
    <row r="36" spans="5:14" ht="15" thickBot="1" x14ac:dyDescent="0.35">
      <c r="E36" s="2"/>
      <c r="F36" s="39"/>
      <c r="G36">
        <v>-0.15176519402897315</v>
      </c>
      <c r="H36">
        <v>-0.3550049106495119</v>
      </c>
      <c r="I36">
        <v>0.34351168716241504</v>
      </c>
      <c r="J36">
        <v>0.42748749214265708</v>
      </c>
      <c r="K36">
        <v>-7.4626568139839519E-2</v>
      </c>
      <c r="L36">
        <v>-0.56222418685199094</v>
      </c>
      <c r="M36">
        <v>6.2702461611400556E-2</v>
      </c>
      <c r="N36">
        <v>-0.20178576136156634</v>
      </c>
    </row>
    <row r="37" spans="5:14" ht="15" thickBot="1" x14ac:dyDescent="0.35">
      <c r="E37" s="2"/>
      <c r="F37" s="38"/>
      <c r="G37">
        <v>0.14125647717535533</v>
      </c>
      <c r="H37">
        <v>0.48916879850674644</v>
      </c>
      <c r="I37">
        <v>1.0339635392334008</v>
      </c>
      <c r="J37">
        <v>1.5666634878980172E-2</v>
      </c>
      <c r="K37">
        <v>-0.65623682653984816</v>
      </c>
      <c r="L37">
        <v>0.40357665944423277</v>
      </c>
      <c r="M37">
        <v>0.67857654250696353</v>
      </c>
      <c r="N37">
        <v>0.31976922910787431</v>
      </c>
    </row>
    <row r="38" spans="5:14" ht="15" thickBot="1" x14ac:dyDescent="0.35">
      <c r="E38" s="2"/>
      <c r="F38" s="39"/>
      <c r="G38">
        <v>-0.52698888160840995</v>
      </c>
      <c r="H38">
        <v>1.8684355204127798E-2</v>
      </c>
      <c r="I38">
        <v>-0.37305116236972774</v>
      </c>
      <c r="J38">
        <v>0.23371942904638299</v>
      </c>
      <c r="K38">
        <v>-1.950802095135741</v>
      </c>
      <c r="L38">
        <v>-0.8796213475171436</v>
      </c>
      <c r="M38">
        <v>-0.68939423169063807</v>
      </c>
      <c r="N38">
        <v>-0.29626547131564568</v>
      </c>
    </row>
    <row r="39" spans="5:14" ht="15" thickBot="1" x14ac:dyDescent="0.35">
      <c r="E39" s="2"/>
      <c r="F39" s="38"/>
      <c r="G39">
        <v>-0.28838898892503012</v>
      </c>
      <c r="H39">
        <v>-0.39366500399241389</v>
      </c>
      <c r="I39">
        <v>-0.97970987974380996</v>
      </c>
      <c r="J39">
        <v>-0.1504043726739048</v>
      </c>
      <c r="K39">
        <v>-1.336438098768461</v>
      </c>
      <c r="L39">
        <v>-0.16844232054412317</v>
      </c>
      <c r="M39">
        <v>-0.66040897197217197</v>
      </c>
      <c r="N39">
        <v>-0.47879415293532696</v>
      </c>
    </row>
    <row r="40" spans="5:14" ht="15" thickBot="1" x14ac:dyDescent="0.35">
      <c r="E40" s="2"/>
      <c r="F40" s="39"/>
      <c r="G40">
        <v>-0.61896778238569383</v>
      </c>
      <c r="H40">
        <v>8.0657903017454541E-2</v>
      </c>
      <c r="I40">
        <v>-0.15466748001213876</v>
      </c>
      <c r="J40">
        <v>0.24469367046455973</v>
      </c>
      <c r="K40">
        <v>-1.589831382795182</v>
      </c>
      <c r="L40">
        <v>-1.486247301878902</v>
      </c>
      <c r="M40">
        <v>-0.59818251498424202</v>
      </c>
      <c r="N40">
        <v>0.32037914903848874</v>
      </c>
    </row>
    <row r="41" spans="5:14" ht="15" thickBot="1" x14ac:dyDescent="0.35">
      <c r="E41" s="2"/>
      <c r="F41" s="39"/>
      <c r="G41">
        <v>-0.58251856573613414</v>
      </c>
      <c r="H41">
        <v>0.36826847844843968</v>
      </c>
      <c r="I41">
        <v>-8.7247768564280195E-2</v>
      </c>
      <c r="J41">
        <v>-0.27066764229265144</v>
      </c>
      <c r="K41">
        <v>-0.29897223381044308</v>
      </c>
      <c r="L41">
        <v>-0.85409088079480544</v>
      </c>
      <c r="M41">
        <v>-0.59531291621159066</v>
      </c>
      <c r="N41">
        <v>-8.5416286187271984E-2</v>
      </c>
    </row>
    <row r="42" spans="5:14" ht="15" thickBot="1" x14ac:dyDescent="0.35">
      <c r="E42" s="2"/>
      <c r="F42" s="39"/>
      <c r="G42">
        <v>-4.8316536621812282E-3</v>
      </c>
      <c r="H42">
        <v>-0.31304090691867109</v>
      </c>
      <c r="I42">
        <v>0.16099577007920216</v>
      </c>
      <c r="J42">
        <v>-0.31717954324080405</v>
      </c>
      <c r="K42">
        <v>0.51788266417724371</v>
      </c>
      <c r="L42">
        <v>-0.50884425464152105</v>
      </c>
      <c r="M42">
        <v>0.33399774902905222</v>
      </c>
      <c r="N42">
        <v>4.8294803403305851E-2</v>
      </c>
    </row>
    <row r="43" spans="5:14" ht="15" thickBot="1" x14ac:dyDescent="0.35">
      <c r="E43" s="2"/>
      <c r="F43" s="39"/>
      <c r="G43">
        <v>1.0997915930153028</v>
      </c>
      <c r="H43">
        <v>-0.91851821086450669</v>
      </c>
      <c r="I43">
        <v>0.59851776898034048</v>
      </c>
      <c r="J43">
        <v>-0.17093067986727556</v>
      </c>
      <c r="K43">
        <v>0.84974913926106443</v>
      </c>
      <c r="L43">
        <v>-0.30966868290393362</v>
      </c>
      <c r="M43">
        <v>0.53671556804909004</v>
      </c>
      <c r="N43">
        <v>-0.19156010102733273</v>
      </c>
    </row>
    <row r="44" spans="5:14" ht="15" thickBot="1" x14ac:dyDescent="0.35">
      <c r="E44" s="2"/>
      <c r="F44" s="39"/>
      <c r="G44">
        <v>-0.93845965664521691</v>
      </c>
      <c r="I44">
        <v>-0.88259003370152145</v>
      </c>
      <c r="K44">
        <v>2.5372096842164482</v>
      </c>
      <c r="M44">
        <v>-0.31523142831702328</v>
      </c>
    </row>
    <row r="45" spans="5:14" ht="15" thickBot="1" x14ac:dyDescent="0.35">
      <c r="E45" s="2"/>
      <c r="F45" s="39"/>
      <c r="G45">
        <v>-0.58475925214411295</v>
      </c>
      <c r="I45">
        <v>-0.31752291446280217</v>
      </c>
      <c r="K45">
        <v>1.1323500491529683</v>
      </c>
      <c r="M45">
        <v>-0.39618827132795514</v>
      </c>
    </row>
    <row r="46" spans="5:14" ht="15" thickBot="1" x14ac:dyDescent="0.35">
      <c r="E46" s="2"/>
      <c r="F46" s="39"/>
      <c r="G46">
        <v>-0.80600237798003205</v>
      </c>
      <c r="I46">
        <v>0.9290489979728177</v>
      </c>
      <c r="K46">
        <v>0.55779699207139488</v>
      </c>
      <c r="M46">
        <v>-0.28469985701331557</v>
      </c>
    </row>
    <row r="47" spans="5:14" ht="15" thickBot="1" x14ac:dyDescent="0.35">
      <c r="E47" s="2"/>
      <c r="F47" s="39"/>
      <c r="G47">
        <v>-0.61614910307263415</v>
      </c>
      <c r="I47">
        <v>0.23510374223292405</v>
      </c>
      <c r="K47">
        <v>2.1118857402655213</v>
      </c>
      <c r="M47">
        <v>-1.0224293279358223</v>
      </c>
    </row>
    <row r="48" spans="5:14" ht="15" thickBot="1" x14ac:dyDescent="0.35">
      <c r="E48" s="2"/>
      <c r="F48" s="39"/>
      <c r="G48">
        <v>-0.52971966395247783</v>
      </c>
      <c r="I48">
        <v>-3.0799471553528406E-2</v>
      </c>
      <c r="K48">
        <v>-0.1634134471064434</v>
      </c>
      <c r="M48">
        <v>-0.65891968201071804</v>
      </c>
    </row>
    <row r="49" spans="5:13" ht="15" thickBot="1" x14ac:dyDescent="0.35">
      <c r="E49" s="2"/>
      <c r="F49" s="39"/>
      <c r="G49">
        <v>-0.15924195171810715</v>
      </c>
      <c r="I49">
        <v>3.3344345888722798E-3</v>
      </c>
      <c r="K49">
        <v>1.2072364727615323</v>
      </c>
      <c r="M49">
        <v>0.121721934665025</v>
      </c>
    </row>
    <row r="50" spans="5:13" ht="15" thickBot="1" x14ac:dyDescent="0.35">
      <c r="E50" s="2"/>
      <c r="F50" s="39"/>
      <c r="G50">
        <v>-8.3381608939051013E-2</v>
      </c>
      <c r="I50">
        <v>-0.19579592979597241</v>
      </c>
      <c r="K50">
        <v>-0.20877231401523696</v>
      </c>
      <c r="M50">
        <v>0.15781538515572191</v>
      </c>
    </row>
    <row r="51" spans="5:13" ht="15" thickBot="1" x14ac:dyDescent="0.35">
      <c r="E51" s="2"/>
      <c r="F51" s="39"/>
      <c r="G51">
        <v>1.8405782044179029</v>
      </c>
      <c r="I51">
        <v>0.89967749306701195</v>
      </c>
      <c r="K51">
        <v>-1.0040234894415344E-2</v>
      </c>
      <c r="M51">
        <v>1.7974847153508766</v>
      </c>
    </row>
    <row r="52" spans="5:13" ht="15" thickBot="1" x14ac:dyDescent="0.35">
      <c r="E52" s="2"/>
      <c r="F52" s="39"/>
      <c r="G52">
        <v>-0.10166734382020877</v>
      </c>
      <c r="I52">
        <v>1.3005066334869296E-2</v>
      </c>
      <c r="K52">
        <v>-0.95985084662653453</v>
      </c>
      <c r="M52">
        <v>0.15519013940192078</v>
      </c>
    </row>
    <row r="53" spans="5:13" ht="15" thickBot="1" x14ac:dyDescent="0.35">
      <c r="E53" s="7"/>
      <c r="F53" s="39"/>
      <c r="G53">
        <v>-1.0980824290685038</v>
      </c>
      <c r="I53">
        <v>-0.16029786846919478</v>
      </c>
      <c r="K53">
        <v>-0.95235842103603197</v>
      </c>
      <c r="M53">
        <v>-1.0017124639281503</v>
      </c>
    </row>
    <row r="54" spans="5:13" ht="15" thickBot="1" x14ac:dyDescent="0.35">
      <c r="E54" s="7"/>
      <c r="F54" s="39"/>
    </row>
    <row r="55" spans="5:13" ht="15" thickBot="1" x14ac:dyDescent="0.35">
      <c r="E55" s="7"/>
      <c r="F55" s="39"/>
    </row>
    <row r="56" spans="5:13" ht="15" thickBot="1" x14ac:dyDescent="0.35">
      <c r="E56" s="7"/>
      <c r="F56" s="39"/>
    </row>
    <row r="57" spans="5:13" ht="15" thickBot="1" x14ac:dyDescent="0.35">
      <c r="E57" s="7"/>
      <c r="F57" s="39"/>
    </row>
    <row r="58" spans="5:13" ht="15" thickBot="1" x14ac:dyDescent="0.35">
      <c r="E58" s="7"/>
      <c r="F58" s="38"/>
    </row>
    <row r="59" spans="5:13" ht="15" thickBot="1" x14ac:dyDescent="0.35">
      <c r="E59" s="7"/>
      <c r="F59" s="39"/>
    </row>
    <row r="60" spans="5:13" ht="15" thickBot="1" x14ac:dyDescent="0.35">
      <c r="E60" s="7"/>
      <c r="F60" s="39"/>
    </row>
    <row r="61" spans="5:13" ht="15" thickBot="1" x14ac:dyDescent="0.35">
      <c r="E61" s="7"/>
      <c r="F61" s="39"/>
    </row>
  </sheetData>
  <conditionalFormatting sqref="H2:K29">
    <cfRule type="colorScale" priority="1">
      <colorScale>
        <cfvo type="min"/>
        <cfvo type="num" val="0"/>
        <cfvo type="max"/>
        <color theme="4"/>
        <color theme="0"/>
        <color rgb="FFFF0000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8"/>
  <sheetViews>
    <sheetView workbookViewId="0">
      <selection activeCell="T39" sqref="T39"/>
    </sheetView>
  </sheetViews>
  <sheetFormatPr defaultRowHeight="14.4" x14ac:dyDescent="0.3"/>
  <cols>
    <col min="2" max="2" width="13" customWidth="1"/>
    <col min="13" max="13" width="16.33203125" customWidth="1"/>
    <col min="14" max="14" width="14.88671875" customWidth="1"/>
    <col min="15" max="15" width="17.44140625" customWidth="1"/>
    <col min="16" max="16" width="22.88671875" customWidth="1"/>
    <col min="24" max="24" width="13" customWidth="1"/>
  </cols>
  <sheetData>
    <row r="1" spans="1:44" ht="54" thickBot="1" x14ac:dyDescent="0.35"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s="9" t="s">
        <v>42</v>
      </c>
      <c r="R1" s="9" t="s">
        <v>43</v>
      </c>
      <c r="S1" s="9" t="s">
        <v>44</v>
      </c>
      <c r="T1" s="9" t="s">
        <v>63</v>
      </c>
      <c r="U1" s="9" t="s">
        <v>64</v>
      </c>
      <c r="V1" s="9" t="s">
        <v>45</v>
      </c>
      <c r="W1" s="9" t="s">
        <v>46</v>
      </c>
      <c r="Y1" s="11" t="s">
        <v>51</v>
      </c>
      <c r="Z1" s="11" t="s">
        <v>52</v>
      </c>
      <c r="AA1" s="11" t="s">
        <v>53</v>
      </c>
      <c r="AB1" s="11" t="s">
        <v>54</v>
      </c>
      <c r="AC1" s="12" t="s">
        <v>55</v>
      </c>
      <c r="AD1" s="12" t="s">
        <v>56</v>
      </c>
      <c r="AE1" s="12" t="s">
        <v>57</v>
      </c>
      <c r="AF1" s="12" t="s">
        <v>58</v>
      </c>
      <c r="AG1" s="12"/>
      <c r="AI1" s="12"/>
      <c r="AO1" s="12" t="s">
        <v>59</v>
      </c>
      <c r="AP1" s="13" t="s">
        <v>60</v>
      </c>
      <c r="AQ1" s="15" t="s">
        <v>61</v>
      </c>
      <c r="AR1" s="14" t="s">
        <v>62</v>
      </c>
    </row>
    <row r="2" spans="1:44" ht="15" thickBot="1" x14ac:dyDescent="0.35">
      <c r="A2" s="1">
        <v>1</v>
      </c>
      <c r="B2" s="2" t="s">
        <v>0</v>
      </c>
      <c r="C2" s="3">
        <v>1.2999999999999999E-4</v>
      </c>
      <c r="D2" s="3">
        <v>1E-4</v>
      </c>
      <c r="E2" s="3">
        <v>8.0000000000000007E-5</v>
      </c>
      <c r="F2" s="3">
        <v>9.0000000000000006E-5</v>
      </c>
      <c r="G2" s="3">
        <v>4.8999999999999998E-4</v>
      </c>
      <c r="H2" s="3">
        <v>2.4000000000000001E-4</v>
      </c>
      <c r="I2">
        <f>H2/D2</f>
        <v>2.4</v>
      </c>
      <c r="J2">
        <f>F2/D2</f>
        <v>0.9</v>
      </c>
      <c r="K2">
        <f>G2/C2</f>
        <v>3.7692307692307696</v>
      </c>
      <c r="L2">
        <f>E2/C2</f>
        <v>0.61538461538461553</v>
      </c>
      <c r="M2">
        <f>LN(I2)</f>
        <v>0.87546873735389985</v>
      </c>
      <c r="N2">
        <f t="shared" ref="N2:P17" si="0">LN(J2)</f>
        <v>-0.10536051565782628</v>
      </c>
      <c r="O2">
        <f t="shared" si="0"/>
        <v>1.3268709406490899</v>
      </c>
      <c r="P2">
        <f t="shared" si="0"/>
        <v>-0.48550781578170055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2" t="s">
        <v>0</v>
      </c>
      <c r="Y2" s="18">
        <v>737</v>
      </c>
      <c r="Z2" s="18">
        <v>384.5</v>
      </c>
      <c r="AA2" s="18">
        <v>398</v>
      </c>
      <c r="AB2" s="18">
        <v>0</v>
      </c>
      <c r="AC2" s="19">
        <v>1</v>
      </c>
      <c r="AD2" s="19">
        <v>1</v>
      </c>
      <c r="AE2" s="19">
        <v>1</v>
      </c>
      <c r="AF2" s="19">
        <v>0</v>
      </c>
      <c r="AG2" s="19"/>
      <c r="AI2" s="19"/>
      <c r="AO2" s="19"/>
      <c r="AP2" s="19"/>
      <c r="AQ2" s="19"/>
      <c r="AR2" s="19"/>
    </row>
    <row r="3" spans="1:44" ht="15" thickBot="1" x14ac:dyDescent="0.35">
      <c r="A3" s="1">
        <v>2</v>
      </c>
      <c r="B3" s="2" t="s">
        <v>1</v>
      </c>
      <c r="C3" s="4">
        <v>0.35735</v>
      </c>
      <c r="D3" s="4">
        <v>0.19702</v>
      </c>
      <c r="E3" s="4">
        <v>1.0875300000000001</v>
      </c>
      <c r="F3" s="4">
        <v>0.12046</v>
      </c>
      <c r="G3" s="4">
        <v>1.69983</v>
      </c>
      <c r="H3" s="4">
        <v>0.92118</v>
      </c>
      <c r="I3">
        <f t="shared" ref="I3:I22" si="1">H3/D3</f>
        <v>4.6755659323926508</v>
      </c>
      <c r="J3">
        <f t="shared" ref="J3:J22" si="2">F3/D3</f>
        <v>0.61141000913612831</v>
      </c>
      <c r="K3">
        <f t="shared" ref="K3:K22" si="3">G3/C3</f>
        <v>4.7567650762557712</v>
      </c>
      <c r="L3">
        <f t="shared" ref="L3:L22" si="4">E3/C3</f>
        <v>3.0433188750524698</v>
      </c>
      <c r="M3">
        <f t="shared" ref="M3:P22" si="5">LN(I3)</f>
        <v>1.5423502104713296</v>
      </c>
      <c r="N3">
        <f t="shared" si="0"/>
        <v>-0.49198749881195808</v>
      </c>
      <c r="O3">
        <f t="shared" si="0"/>
        <v>1.5595678313779862</v>
      </c>
      <c r="P3">
        <f t="shared" si="0"/>
        <v>1.1129486551232555</v>
      </c>
      <c r="Q3" s="16">
        <v>1</v>
      </c>
      <c r="R3" s="16">
        <v>1</v>
      </c>
      <c r="S3" s="16">
        <v>0</v>
      </c>
      <c r="T3" s="16">
        <v>1</v>
      </c>
      <c r="U3" s="16">
        <v>199</v>
      </c>
      <c r="V3" s="16">
        <v>27.3</v>
      </c>
      <c r="W3" s="16">
        <v>0</v>
      </c>
      <c r="X3" s="2" t="s">
        <v>1</v>
      </c>
      <c r="Y3" s="18">
        <v>1000</v>
      </c>
      <c r="Z3" s="18">
        <v>679.5</v>
      </c>
      <c r="AA3" s="18">
        <v>0</v>
      </c>
      <c r="AB3" s="18">
        <v>1000</v>
      </c>
      <c r="AC3" s="19">
        <v>1</v>
      </c>
      <c r="AD3" s="19">
        <v>1</v>
      </c>
      <c r="AE3" s="19">
        <v>0</v>
      </c>
      <c r="AF3" s="19">
        <v>1</v>
      </c>
      <c r="AG3" s="19"/>
      <c r="AI3" s="19"/>
      <c r="AO3" s="19"/>
      <c r="AP3" s="19"/>
      <c r="AQ3" s="19"/>
      <c r="AR3" s="19"/>
    </row>
    <row r="4" spans="1:44" ht="15" thickBot="1" x14ac:dyDescent="0.35">
      <c r="A4" s="1">
        <v>3</v>
      </c>
      <c r="B4" s="2" t="s">
        <v>2</v>
      </c>
      <c r="C4" s="4">
        <v>1E-4</v>
      </c>
      <c r="D4" s="4">
        <v>8.0000000000000007E-5</v>
      </c>
      <c r="E4" s="4">
        <v>1.2999999999999999E-4</v>
      </c>
      <c r="F4" s="4">
        <v>1E-4</v>
      </c>
      <c r="G4" s="4">
        <v>1.34E-3</v>
      </c>
      <c r="H4" s="4">
        <v>1.7000000000000001E-4</v>
      </c>
      <c r="I4">
        <f t="shared" si="1"/>
        <v>2.125</v>
      </c>
      <c r="J4">
        <f t="shared" si="2"/>
        <v>1.25</v>
      </c>
      <c r="K4">
        <f t="shared" si="3"/>
        <v>13.4</v>
      </c>
      <c r="L4">
        <f t="shared" si="4"/>
        <v>1.2999999999999998</v>
      </c>
      <c r="M4">
        <f t="shared" si="5"/>
        <v>0.7537718023763802</v>
      </c>
      <c r="N4">
        <f t="shared" si="0"/>
        <v>0.22314355131420976</v>
      </c>
      <c r="O4">
        <f t="shared" si="0"/>
        <v>2.5952547069568657</v>
      </c>
      <c r="P4">
        <f t="shared" si="0"/>
        <v>0.26236426446749089</v>
      </c>
      <c r="Q4" s="16">
        <v>10</v>
      </c>
      <c r="R4" s="16">
        <v>3</v>
      </c>
      <c r="S4" s="16">
        <v>2</v>
      </c>
      <c r="T4" s="16">
        <v>1</v>
      </c>
      <c r="U4" s="16">
        <v>137</v>
      </c>
      <c r="V4" s="16">
        <v>53.7</v>
      </c>
      <c r="W4" s="16">
        <v>53.7</v>
      </c>
      <c r="X4" s="2" t="s">
        <v>2</v>
      </c>
      <c r="Y4" s="18">
        <v>0</v>
      </c>
      <c r="Z4" s="18">
        <v>0</v>
      </c>
      <c r="AA4" s="18">
        <v>0</v>
      </c>
      <c r="AB4" s="18">
        <v>0</v>
      </c>
      <c r="AC4" s="19">
        <v>0</v>
      </c>
      <c r="AD4" s="19">
        <v>0</v>
      </c>
      <c r="AE4" s="19">
        <v>0</v>
      </c>
      <c r="AF4" s="19">
        <v>0</v>
      </c>
      <c r="AG4" s="19"/>
      <c r="AI4" s="19"/>
      <c r="AO4" s="20"/>
      <c r="AP4" s="19"/>
      <c r="AQ4" s="19"/>
      <c r="AR4" s="19"/>
    </row>
    <row r="5" spans="1:44" ht="15" thickBot="1" x14ac:dyDescent="0.35">
      <c r="A5" s="1">
        <v>4</v>
      </c>
      <c r="B5" s="2" t="s">
        <v>3</v>
      </c>
      <c r="C5" s="4">
        <v>8.8100000000000001E-3</v>
      </c>
      <c r="D5" s="4">
        <v>1.065E-2</v>
      </c>
      <c r="E5" s="4">
        <v>2.6210000000000001E-2</v>
      </c>
      <c r="F5" s="4">
        <v>3.0000000000000001E-5</v>
      </c>
      <c r="G5" s="4">
        <v>6.6570000000000004E-2</v>
      </c>
      <c r="H5" s="4">
        <v>1.504E-2</v>
      </c>
      <c r="I5">
        <f t="shared" si="1"/>
        <v>1.4122065727699531</v>
      </c>
      <c r="J5">
        <f t="shared" si="2"/>
        <v>2.8169014084507044E-3</v>
      </c>
      <c r="K5">
        <f t="shared" si="3"/>
        <v>7.5561861520998868</v>
      </c>
      <c r="L5">
        <f t="shared" si="4"/>
        <v>2.9750283768444947</v>
      </c>
      <c r="M5">
        <f t="shared" si="5"/>
        <v>0.34515342636625967</v>
      </c>
      <c r="N5">
        <f t="shared" si="0"/>
        <v>-5.872117789475416</v>
      </c>
      <c r="O5">
        <f t="shared" si="0"/>
        <v>2.0223665856645243</v>
      </c>
      <c r="P5">
        <f t="shared" si="0"/>
        <v>1.0902535773872268</v>
      </c>
      <c r="Q5" s="26">
        <v>12</v>
      </c>
      <c r="R5" s="26">
        <v>6</v>
      </c>
      <c r="S5" s="26">
        <v>3</v>
      </c>
      <c r="T5" s="26">
        <v>5</v>
      </c>
      <c r="U5" s="26">
        <v>126.5</v>
      </c>
      <c r="V5" s="16">
        <v>46.8</v>
      </c>
      <c r="W5" s="16">
        <v>46.8</v>
      </c>
      <c r="X5" s="2" t="s">
        <v>3</v>
      </c>
      <c r="Y5" s="25">
        <v>466.5</v>
      </c>
      <c r="Z5" s="25">
        <v>513.5</v>
      </c>
      <c r="AA5" s="25">
        <v>965</v>
      </c>
      <c r="AB5" s="25">
        <v>1000</v>
      </c>
      <c r="AC5" s="20">
        <v>2</v>
      </c>
      <c r="AD5" s="20">
        <v>2</v>
      </c>
      <c r="AE5" s="20">
        <v>2</v>
      </c>
      <c r="AF5" s="20">
        <v>4</v>
      </c>
      <c r="AG5" s="19"/>
      <c r="AI5" s="19"/>
      <c r="AO5" s="20"/>
      <c r="AP5" s="19"/>
      <c r="AQ5" s="19"/>
      <c r="AR5" s="19"/>
    </row>
    <row r="6" spans="1:44" ht="15" thickBot="1" x14ac:dyDescent="0.35">
      <c r="A6" s="1">
        <v>5</v>
      </c>
      <c r="B6" s="2" t="s">
        <v>4</v>
      </c>
      <c r="C6" s="4">
        <v>3.96E-3</v>
      </c>
      <c r="D6" s="4">
        <v>4.4299999999999999E-3</v>
      </c>
      <c r="E6" s="4">
        <v>5.8999999999999999E-3</v>
      </c>
      <c r="F6" s="4">
        <v>1.0200000000000001E-3</v>
      </c>
      <c r="G6" s="4">
        <v>1.3129999999999999E-2</v>
      </c>
      <c r="H6" s="4">
        <v>7.6800000000000002E-3</v>
      </c>
      <c r="I6">
        <f t="shared" si="1"/>
        <v>1.7336343115124155</v>
      </c>
      <c r="J6">
        <f t="shared" si="2"/>
        <v>0.23024830699774268</v>
      </c>
      <c r="K6">
        <f t="shared" si="3"/>
        <v>3.3156565656565653</v>
      </c>
      <c r="L6">
        <f t="shared" si="4"/>
        <v>1.4898989898989898</v>
      </c>
      <c r="M6">
        <f t="shared" si="5"/>
        <v>0.55021996310253662</v>
      </c>
      <c r="N6">
        <f t="shared" si="0"/>
        <v>-1.4685969567608645</v>
      </c>
      <c r="O6">
        <f t="shared" si="0"/>
        <v>1.1986556630483156</v>
      </c>
      <c r="P6">
        <f t="shared" si="0"/>
        <v>0.39870832564528452</v>
      </c>
      <c r="Q6" s="16">
        <v>7</v>
      </c>
      <c r="R6" s="16">
        <v>3</v>
      </c>
      <c r="S6" s="16">
        <v>1</v>
      </c>
      <c r="T6" s="26">
        <v>2</v>
      </c>
      <c r="U6" s="26">
        <v>70.5</v>
      </c>
      <c r="V6" s="16">
        <v>39.299999999999997</v>
      </c>
      <c r="W6" s="16">
        <v>30.7</v>
      </c>
      <c r="X6" s="2" t="s">
        <v>4</v>
      </c>
      <c r="Y6" s="25">
        <v>272.5</v>
      </c>
      <c r="Z6" s="25">
        <v>0</v>
      </c>
      <c r="AA6" s="25">
        <v>0</v>
      </c>
      <c r="AB6" s="25">
        <v>1000</v>
      </c>
      <c r="AC6" s="20">
        <v>1</v>
      </c>
      <c r="AD6" s="20">
        <v>0</v>
      </c>
      <c r="AE6" s="20">
        <v>0</v>
      </c>
      <c r="AF6" s="20">
        <v>1</v>
      </c>
      <c r="AG6" s="19"/>
      <c r="AI6" s="19"/>
      <c r="AO6" s="20"/>
      <c r="AP6" s="19"/>
      <c r="AQ6" s="19"/>
      <c r="AR6" s="19"/>
    </row>
    <row r="7" spans="1:44" ht="15" thickBot="1" x14ac:dyDescent="0.35">
      <c r="A7" s="1">
        <v>6</v>
      </c>
      <c r="B7" s="2" t="s">
        <v>5</v>
      </c>
      <c r="C7" s="4">
        <v>0.13874</v>
      </c>
      <c r="D7" s="4">
        <v>8.8090000000000002E-2</v>
      </c>
      <c r="E7" s="4">
        <v>9.5329999999999998E-2</v>
      </c>
      <c r="F7" s="4">
        <v>2.385E-2</v>
      </c>
      <c r="G7" s="4">
        <v>0.30937999999999999</v>
      </c>
      <c r="H7" s="4">
        <v>0.11088000000000001</v>
      </c>
      <c r="I7">
        <f t="shared" si="1"/>
        <v>1.2587126802134181</v>
      </c>
      <c r="J7">
        <f t="shared" si="2"/>
        <v>0.27074582813032128</v>
      </c>
      <c r="K7">
        <f t="shared" si="3"/>
        <v>2.2299264811878334</v>
      </c>
      <c r="L7">
        <f t="shared" si="4"/>
        <v>0.68711258469078851</v>
      </c>
      <c r="M7">
        <f t="shared" si="5"/>
        <v>0.23008951631988878</v>
      </c>
      <c r="N7">
        <f t="shared" si="0"/>
        <v>-1.306574801787354</v>
      </c>
      <c r="O7">
        <f t="shared" si="0"/>
        <v>0.80196861685136367</v>
      </c>
      <c r="P7">
        <f t="shared" si="0"/>
        <v>-0.37525712145166851</v>
      </c>
      <c r="Q7" s="16">
        <v>1</v>
      </c>
      <c r="R7" s="16">
        <v>1</v>
      </c>
      <c r="S7" s="16">
        <v>0</v>
      </c>
      <c r="T7" s="16">
        <v>1</v>
      </c>
      <c r="U7" s="16">
        <v>121.5</v>
      </c>
      <c r="V7" s="16">
        <v>46.3</v>
      </c>
      <c r="W7" s="16">
        <v>0</v>
      </c>
      <c r="X7" s="2" t="s">
        <v>5</v>
      </c>
      <c r="Y7" s="18">
        <v>0</v>
      </c>
      <c r="Z7" s="18">
        <v>370</v>
      </c>
      <c r="AA7" s="18">
        <v>0</v>
      </c>
      <c r="AB7" s="25">
        <v>1000</v>
      </c>
      <c r="AC7" s="19">
        <v>0</v>
      </c>
      <c r="AD7" s="19">
        <v>1</v>
      </c>
      <c r="AE7" s="19">
        <v>0</v>
      </c>
      <c r="AF7" s="19">
        <v>1</v>
      </c>
      <c r="AG7" s="19"/>
      <c r="AI7" s="19"/>
      <c r="AO7" s="20"/>
      <c r="AP7" s="19"/>
      <c r="AQ7" s="19"/>
      <c r="AR7" s="19"/>
    </row>
    <row r="8" spans="1:44" ht="15" thickBot="1" x14ac:dyDescent="0.35">
      <c r="A8" s="1">
        <v>7</v>
      </c>
      <c r="B8" s="2" t="s">
        <v>6</v>
      </c>
      <c r="C8" s="4">
        <v>9.4280000000000003E-2</v>
      </c>
      <c r="D8" s="4">
        <v>5.076E-2</v>
      </c>
      <c r="E8" s="4">
        <v>0.13644999999999999</v>
      </c>
      <c r="F8" s="4">
        <v>1.059E-2</v>
      </c>
      <c r="G8" s="4">
        <v>0.27195999999999998</v>
      </c>
      <c r="H8" s="4">
        <v>0.14301</v>
      </c>
      <c r="I8">
        <f t="shared" si="1"/>
        <v>2.8173758865248226</v>
      </c>
      <c r="J8">
        <f t="shared" si="2"/>
        <v>0.20862884160756504</v>
      </c>
      <c r="K8">
        <f t="shared" si="3"/>
        <v>2.8845990666100971</v>
      </c>
      <c r="L8">
        <f t="shared" si="4"/>
        <v>1.4472846839202373</v>
      </c>
      <c r="M8">
        <f t="shared" si="5"/>
        <v>1.0358059150386572</v>
      </c>
      <c r="N8">
        <f t="shared" si="0"/>
        <v>-1.5671984832328718</v>
      </c>
      <c r="O8">
        <f t="shared" si="0"/>
        <v>1.0593859185903283</v>
      </c>
      <c r="P8">
        <f t="shared" si="0"/>
        <v>0.36968916908641697</v>
      </c>
      <c r="Q8" s="16">
        <v>10</v>
      </c>
      <c r="R8" s="16">
        <v>5</v>
      </c>
      <c r="S8" s="16">
        <v>3</v>
      </c>
      <c r="T8" s="16">
        <v>3</v>
      </c>
      <c r="U8" s="16">
        <v>182</v>
      </c>
      <c r="V8" s="16">
        <v>54</v>
      </c>
      <c r="W8" s="16">
        <v>54</v>
      </c>
      <c r="X8" s="2" t="s">
        <v>6</v>
      </c>
      <c r="Y8" s="18">
        <v>0</v>
      </c>
      <c r="Z8" s="18">
        <v>494.5</v>
      </c>
      <c r="AA8" s="18">
        <v>0</v>
      </c>
      <c r="AB8" s="25">
        <v>1000</v>
      </c>
      <c r="AC8" s="19">
        <v>0</v>
      </c>
      <c r="AD8" s="19">
        <v>1</v>
      </c>
      <c r="AE8" s="19">
        <v>0</v>
      </c>
      <c r="AF8" s="19">
        <v>2</v>
      </c>
      <c r="AG8" s="19"/>
      <c r="AI8" s="19"/>
      <c r="AO8" s="19"/>
      <c r="AP8" s="19"/>
      <c r="AQ8" s="19"/>
      <c r="AR8" s="19"/>
    </row>
    <row r="9" spans="1:44" ht="15" thickBot="1" x14ac:dyDescent="0.35">
      <c r="A9" s="1">
        <v>8</v>
      </c>
      <c r="B9" s="2" t="s">
        <v>7</v>
      </c>
      <c r="C9" s="4">
        <v>5.8199999999999997E-3</v>
      </c>
      <c r="D9" s="4">
        <v>4.8900000000000002E-3</v>
      </c>
      <c r="E9" s="4">
        <v>7.1399999999999996E-3</v>
      </c>
      <c r="F9" s="4">
        <v>2.5400000000000002E-3</v>
      </c>
      <c r="G9" s="4">
        <v>2.409E-2</v>
      </c>
      <c r="H9" s="4">
        <v>7.8700000000000003E-3</v>
      </c>
      <c r="I9">
        <f t="shared" si="1"/>
        <v>1.6094069529652351</v>
      </c>
      <c r="J9">
        <f t="shared" si="2"/>
        <v>0.51942740286298572</v>
      </c>
      <c r="K9">
        <f t="shared" si="3"/>
        <v>4.1391752577319592</v>
      </c>
      <c r="L9">
        <f t="shared" si="4"/>
        <v>1.2268041237113403</v>
      </c>
      <c r="M9">
        <f t="shared" si="5"/>
        <v>0.47586575894253114</v>
      </c>
      <c r="N9">
        <f t="shared" si="0"/>
        <v>-0.65502822245633541</v>
      </c>
      <c r="O9">
        <f t="shared" si="0"/>
        <v>1.4204965548834336</v>
      </c>
      <c r="P9">
        <f t="shared" si="0"/>
        <v>0.20441251460814663</v>
      </c>
      <c r="Q9" s="16">
        <v>10</v>
      </c>
      <c r="R9" s="16">
        <v>5</v>
      </c>
      <c r="S9" s="16">
        <v>2</v>
      </c>
      <c r="T9" s="16">
        <v>3</v>
      </c>
      <c r="U9" s="16">
        <v>210</v>
      </c>
      <c r="V9" s="16">
        <v>52</v>
      </c>
      <c r="W9" s="16">
        <v>47.1</v>
      </c>
      <c r="X9" s="2" t="s">
        <v>7</v>
      </c>
      <c r="Y9" s="18">
        <v>500</v>
      </c>
      <c r="Z9" s="18">
        <v>530</v>
      </c>
      <c r="AA9" s="18">
        <v>0</v>
      </c>
      <c r="AB9" s="25">
        <v>1000</v>
      </c>
      <c r="AC9" s="19">
        <v>1</v>
      </c>
      <c r="AD9" s="19">
        <v>1</v>
      </c>
      <c r="AE9" s="19">
        <v>0</v>
      </c>
      <c r="AF9" s="19">
        <v>3</v>
      </c>
      <c r="AG9" s="19"/>
      <c r="AI9" s="19"/>
      <c r="AO9" s="20"/>
      <c r="AP9" s="19"/>
      <c r="AQ9" s="19"/>
      <c r="AR9" s="19"/>
    </row>
    <row r="10" spans="1:44" ht="15" thickBot="1" x14ac:dyDescent="0.35">
      <c r="A10" s="1">
        <v>9</v>
      </c>
      <c r="B10" s="2" t="s">
        <v>8</v>
      </c>
      <c r="C10" s="4">
        <v>1.4290000000000001E-2</v>
      </c>
      <c r="D10" s="4">
        <v>1.0659999999999999E-2</v>
      </c>
      <c r="E10" s="4">
        <v>6.0659999999999999E-2</v>
      </c>
      <c r="F10" s="4">
        <v>1.33E-3</v>
      </c>
      <c r="G10" s="4">
        <v>0.10095</v>
      </c>
      <c r="H10" s="4">
        <v>5.953E-2</v>
      </c>
      <c r="I10">
        <f t="shared" si="1"/>
        <v>5.5844277673545966</v>
      </c>
      <c r="J10">
        <f t="shared" si="2"/>
        <v>0.12476547842401502</v>
      </c>
      <c r="K10">
        <f t="shared" si="3"/>
        <v>7.0643806857942613</v>
      </c>
      <c r="L10">
        <f t="shared" si="4"/>
        <v>4.2449265220433867</v>
      </c>
      <c r="M10">
        <f t="shared" si="5"/>
        <v>1.7199819684276003</v>
      </c>
      <c r="N10">
        <f t="shared" si="0"/>
        <v>-2.0813194765040359</v>
      </c>
      <c r="O10">
        <f t="shared" si="0"/>
        <v>1.9550653528170705</v>
      </c>
      <c r="P10">
        <f t="shared" si="0"/>
        <v>1.4457245103186589</v>
      </c>
      <c r="Q10" s="16">
        <v>9</v>
      </c>
      <c r="R10" s="16">
        <v>3</v>
      </c>
      <c r="S10" s="16">
        <v>3</v>
      </c>
      <c r="T10" s="16">
        <v>4</v>
      </c>
      <c r="U10" s="16">
        <v>103</v>
      </c>
      <c r="V10" s="16">
        <v>51.3</v>
      </c>
      <c r="W10" s="16">
        <v>51.3</v>
      </c>
      <c r="X10" s="2" t="s">
        <v>8</v>
      </c>
      <c r="Y10" s="18">
        <v>0</v>
      </c>
      <c r="Z10" s="18">
        <v>0</v>
      </c>
      <c r="AA10" s="18">
        <v>0</v>
      </c>
      <c r="AB10" s="18">
        <v>1000</v>
      </c>
      <c r="AC10" s="19">
        <v>0</v>
      </c>
      <c r="AD10" s="19">
        <v>0</v>
      </c>
      <c r="AE10" s="19">
        <v>0</v>
      </c>
      <c r="AF10" s="19">
        <v>2</v>
      </c>
      <c r="AG10" s="19"/>
      <c r="AI10" s="19"/>
      <c r="AO10" s="20"/>
      <c r="AP10" s="19"/>
      <c r="AQ10" s="19"/>
      <c r="AR10" s="19"/>
    </row>
    <row r="11" spans="1:44" ht="15" thickBot="1" x14ac:dyDescent="0.35">
      <c r="A11" s="1">
        <v>10</v>
      </c>
      <c r="B11" s="2" t="s">
        <v>9</v>
      </c>
      <c r="C11" s="4">
        <v>1.081E-2</v>
      </c>
      <c r="D11" s="4">
        <v>5.3800000000000002E-3</v>
      </c>
      <c r="E11" s="4">
        <v>1.5520000000000001E-2</v>
      </c>
      <c r="F11" s="4">
        <v>1.24E-3</v>
      </c>
      <c r="G11" s="4">
        <v>3.5610000000000003E-2</v>
      </c>
      <c r="H11" s="4">
        <v>9.6799999999999994E-3</v>
      </c>
      <c r="I11">
        <f t="shared" si="1"/>
        <v>1.799256505576208</v>
      </c>
      <c r="J11">
        <f t="shared" si="2"/>
        <v>0.23048327137546468</v>
      </c>
      <c r="K11">
        <f t="shared" si="3"/>
        <v>3.294172062904718</v>
      </c>
      <c r="L11">
        <f t="shared" si="4"/>
        <v>1.4357076780758558</v>
      </c>
      <c r="M11">
        <f t="shared" si="5"/>
        <v>0.58737352711479252</v>
      </c>
      <c r="N11">
        <f t="shared" si="0"/>
        <v>-1.4675769945567476</v>
      </c>
      <c r="O11">
        <f t="shared" si="0"/>
        <v>1.1921548656385694</v>
      </c>
      <c r="P11">
        <f t="shared" si="0"/>
        <v>0.3616578831039558</v>
      </c>
      <c r="Q11" s="16">
        <v>3</v>
      </c>
      <c r="R11" s="16">
        <v>2</v>
      </c>
      <c r="S11" s="16">
        <v>0</v>
      </c>
      <c r="T11" s="16">
        <v>0</v>
      </c>
      <c r="U11" s="16">
        <v>0</v>
      </c>
      <c r="V11" s="16">
        <v>46.3</v>
      </c>
      <c r="W11" s="16">
        <v>0</v>
      </c>
      <c r="X11" s="2" t="s">
        <v>9</v>
      </c>
      <c r="Y11" s="18">
        <v>0</v>
      </c>
      <c r="Z11" s="18">
        <v>0</v>
      </c>
      <c r="AA11" s="18">
        <v>0</v>
      </c>
      <c r="AB11" s="18">
        <v>0</v>
      </c>
      <c r="AC11" s="19">
        <v>0</v>
      </c>
      <c r="AD11" s="19">
        <v>0</v>
      </c>
      <c r="AE11" s="19">
        <v>0</v>
      </c>
      <c r="AF11" s="19">
        <v>0</v>
      </c>
      <c r="AG11" s="19"/>
      <c r="AI11" s="19"/>
      <c r="AO11" s="20"/>
      <c r="AP11" s="19"/>
      <c r="AQ11" s="19"/>
      <c r="AR11" s="19"/>
    </row>
    <row r="12" spans="1:44" ht="15" thickBot="1" x14ac:dyDescent="0.35">
      <c r="A12" s="1">
        <v>11</v>
      </c>
      <c r="B12" s="2" t="s">
        <v>10</v>
      </c>
      <c r="C12" s="4">
        <v>2.9999999999999997E-4</v>
      </c>
      <c r="D12" s="4">
        <v>1.9000000000000001E-4</v>
      </c>
      <c r="E12" s="4">
        <v>1.7099999999999999E-3</v>
      </c>
      <c r="F12" s="4">
        <v>1.3999999999999999E-4</v>
      </c>
      <c r="G12" s="4">
        <v>3.5599999999999998E-3</v>
      </c>
      <c r="H12" s="4">
        <v>8.4999999999999995E-4</v>
      </c>
      <c r="I12">
        <f t="shared" si="1"/>
        <v>4.473684210526315</v>
      </c>
      <c r="J12">
        <f t="shared" si="2"/>
        <v>0.73684210526315774</v>
      </c>
      <c r="K12">
        <f t="shared" si="3"/>
        <v>11.866666666666667</v>
      </c>
      <c r="L12">
        <f t="shared" si="4"/>
        <v>5.7</v>
      </c>
      <c r="M12">
        <f t="shared" si="5"/>
        <v>1.4982122773238757</v>
      </c>
      <c r="N12">
        <f t="shared" si="0"/>
        <v>-0.30538164955118208</v>
      </c>
      <c r="O12">
        <f t="shared" si="0"/>
        <v>2.473733349189875</v>
      </c>
      <c r="P12">
        <f t="shared" si="0"/>
        <v>1.7404661748405046</v>
      </c>
      <c r="Q12" s="16">
        <v>20</v>
      </c>
      <c r="R12" s="16">
        <v>10</v>
      </c>
      <c r="S12" s="16">
        <v>2</v>
      </c>
      <c r="T12" s="16">
        <v>5</v>
      </c>
      <c r="U12" s="16">
        <v>201</v>
      </c>
      <c r="V12" s="16">
        <v>53.1</v>
      </c>
      <c r="W12" s="16">
        <v>53.1</v>
      </c>
      <c r="X12" s="2" t="s">
        <v>10</v>
      </c>
      <c r="Y12" s="18">
        <v>0</v>
      </c>
      <c r="Z12" s="18">
        <v>0</v>
      </c>
      <c r="AA12" s="18">
        <v>1000</v>
      </c>
      <c r="AB12" s="18">
        <v>1000</v>
      </c>
      <c r="AC12" s="19">
        <v>0</v>
      </c>
      <c r="AD12" s="19">
        <v>0</v>
      </c>
      <c r="AE12" s="19">
        <v>1</v>
      </c>
      <c r="AF12" s="19">
        <v>5</v>
      </c>
      <c r="AG12" s="19"/>
      <c r="AI12" s="19"/>
      <c r="AO12" s="20"/>
      <c r="AP12" s="19"/>
      <c r="AQ12" s="19"/>
      <c r="AR12" s="19"/>
    </row>
    <row r="13" spans="1:44" ht="15" thickBot="1" x14ac:dyDescent="0.35">
      <c r="A13" s="1">
        <v>12</v>
      </c>
      <c r="B13" s="2" t="s">
        <v>11</v>
      </c>
      <c r="C13" s="4">
        <v>1.7099999999999999E-3</v>
      </c>
      <c r="D13" s="4">
        <v>1.8400000000000001E-3</v>
      </c>
      <c r="E13" s="4">
        <v>5.45E-3</v>
      </c>
      <c r="F13" s="4">
        <v>5.1999999999999995E-4</v>
      </c>
      <c r="G13" s="4">
        <v>1.427E-2</v>
      </c>
      <c r="H13" s="4">
        <v>5.0400000000000002E-3</v>
      </c>
      <c r="I13">
        <f t="shared" si="1"/>
        <v>2.7391304347826089</v>
      </c>
      <c r="J13">
        <f t="shared" si="2"/>
        <v>0.28260869565217389</v>
      </c>
      <c r="K13">
        <f t="shared" si="3"/>
        <v>8.3450292397660828</v>
      </c>
      <c r="L13">
        <f t="shared" si="4"/>
        <v>3.1871345029239766</v>
      </c>
      <c r="M13">
        <f t="shared" si="5"/>
        <v>1.0076405104623831</v>
      </c>
      <c r="N13">
        <f t="shared" si="0"/>
        <v>-1.2636920390275583</v>
      </c>
      <c r="O13">
        <f t="shared" si="0"/>
        <v>2.1216660609741766</v>
      </c>
      <c r="P13">
        <f t="shared" si="0"/>
        <v>1.1591222381605841</v>
      </c>
      <c r="Q13" s="16">
        <v>7</v>
      </c>
      <c r="R13" s="16">
        <v>3</v>
      </c>
      <c r="S13" s="16">
        <v>3</v>
      </c>
      <c r="T13" s="16">
        <v>1</v>
      </c>
      <c r="U13" s="16">
        <v>150</v>
      </c>
      <c r="V13" s="16">
        <v>54.4</v>
      </c>
      <c r="W13" s="16">
        <v>0</v>
      </c>
      <c r="X13" s="2" t="s">
        <v>11</v>
      </c>
      <c r="Y13" s="18">
        <v>1000</v>
      </c>
      <c r="Z13" s="18">
        <v>601</v>
      </c>
      <c r="AA13" s="18">
        <v>0</v>
      </c>
      <c r="AB13" s="18">
        <v>1000</v>
      </c>
      <c r="AC13" s="19">
        <v>1</v>
      </c>
      <c r="AD13" s="19">
        <v>2</v>
      </c>
      <c r="AE13" s="19">
        <v>0</v>
      </c>
      <c r="AF13" s="19">
        <v>1</v>
      </c>
      <c r="AG13" s="19"/>
      <c r="AI13" s="19"/>
      <c r="AO13" s="20"/>
      <c r="AP13" s="19"/>
      <c r="AQ13" s="19"/>
      <c r="AR13" s="19"/>
    </row>
    <row r="14" spans="1:44" ht="15" thickBot="1" x14ac:dyDescent="0.35">
      <c r="A14" s="1">
        <v>13</v>
      </c>
      <c r="B14" s="2" t="s">
        <v>12</v>
      </c>
      <c r="C14" s="4">
        <v>2.1850000000000001E-2</v>
      </c>
      <c r="D14" s="4">
        <v>1.023E-2</v>
      </c>
      <c r="E14" s="4">
        <v>4.6960000000000002E-2</v>
      </c>
      <c r="F14" s="4">
        <v>2.7599999999999999E-3</v>
      </c>
      <c r="G14" s="4">
        <v>0.10369</v>
      </c>
      <c r="H14" s="4">
        <v>4.5670000000000002E-2</v>
      </c>
      <c r="I14">
        <f t="shared" si="1"/>
        <v>4.4643206256109487</v>
      </c>
      <c r="J14">
        <f t="shared" si="2"/>
        <v>0.26979472140762462</v>
      </c>
      <c r="K14">
        <f t="shared" si="3"/>
        <v>4.745537757437071</v>
      </c>
      <c r="L14">
        <f t="shared" si="4"/>
        <v>2.1491990846681923</v>
      </c>
      <c r="M14">
        <f t="shared" si="5"/>
        <v>1.4961170472333727</v>
      </c>
      <c r="N14">
        <f t="shared" si="0"/>
        <v>-1.3100939002344765</v>
      </c>
      <c r="O14">
        <f t="shared" si="0"/>
        <v>1.5572047570285876</v>
      </c>
      <c r="P14">
        <f t="shared" si="0"/>
        <v>0.76509525397824185</v>
      </c>
      <c r="Q14" s="16">
        <v>5</v>
      </c>
      <c r="R14" s="16">
        <v>4</v>
      </c>
      <c r="S14" s="16">
        <v>1</v>
      </c>
      <c r="T14" s="16">
        <v>1</v>
      </c>
      <c r="U14" s="16">
        <v>155</v>
      </c>
      <c r="V14" s="16">
        <v>57.5</v>
      </c>
      <c r="W14" s="16">
        <v>52.8</v>
      </c>
      <c r="X14" s="2" t="s">
        <v>12</v>
      </c>
      <c r="Y14" s="18">
        <v>1000</v>
      </c>
      <c r="Z14" s="18">
        <v>685</v>
      </c>
      <c r="AA14" s="18">
        <v>882</v>
      </c>
      <c r="AB14" s="18">
        <v>1000</v>
      </c>
      <c r="AC14" s="19">
        <v>2</v>
      </c>
      <c r="AD14" s="19">
        <v>2</v>
      </c>
      <c r="AE14" s="19">
        <v>1</v>
      </c>
      <c r="AF14" s="19">
        <v>3</v>
      </c>
      <c r="AG14" s="19"/>
      <c r="AI14" s="19"/>
      <c r="AO14" s="20"/>
      <c r="AP14" s="19"/>
      <c r="AQ14" s="19"/>
      <c r="AR14" s="19"/>
    </row>
    <row r="15" spans="1:44" ht="15" thickBot="1" x14ac:dyDescent="0.35">
      <c r="A15" s="1">
        <v>14</v>
      </c>
      <c r="B15" s="2" t="s">
        <v>13</v>
      </c>
      <c r="C15" s="4">
        <v>4.0680000000000001E-2</v>
      </c>
      <c r="D15" s="4">
        <v>2.69E-2</v>
      </c>
      <c r="E15" s="4">
        <v>8.5949999999999999E-2</v>
      </c>
      <c r="F15" s="4">
        <v>1.091E-2</v>
      </c>
      <c r="G15" s="4">
        <v>0.10319</v>
      </c>
      <c r="H15" s="4">
        <v>9.2079999999999995E-2</v>
      </c>
      <c r="I15">
        <f t="shared" si="1"/>
        <v>3.423048327137546</v>
      </c>
      <c r="J15">
        <f t="shared" si="2"/>
        <v>0.40557620817843865</v>
      </c>
      <c r="K15">
        <f t="shared" si="3"/>
        <v>2.5366273352999018</v>
      </c>
      <c r="L15">
        <f t="shared" si="4"/>
        <v>2.1128318584070795</v>
      </c>
      <c r="M15">
        <f t="shared" si="5"/>
        <v>1.2305314778058336</v>
      </c>
      <c r="N15">
        <f t="shared" si="0"/>
        <v>-0.90244648676281403</v>
      </c>
      <c r="O15">
        <f t="shared" si="0"/>
        <v>0.93083537794726379</v>
      </c>
      <c r="P15">
        <f t="shared" si="0"/>
        <v>0.748029160648499</v>
      </c>
      <c r="Q15" s="16">
        <v>8</v>
      </c>
      <c r="R15" s="16">
        <v>1</v>
      </c>
      <c r="S15" s="16">
        <v>0</v>
      </c>
      <c r="T15" s="16">
        <v>1</v>
      </c>
      <c r="U15" s="16">
        <v>97</v>
      </c>
      <c r="V15" s="16">
        <v>38.700000000000003</v>
      </c>
      <c r="W15" s="16">
        <v>0</v>
      </c>
      <c r="X15" s="2" t="s">
        <v>13</v>
      </c>
      <c r="Y15" s="18">
        <v>500</v>
      </c>
      <c r="Z15" s="18">
        <v>408.5</v>
      </c>
      <c r="AA15" s="18">
        <v>470</v>
      </c>
      <c r="AB15" s="18">
        <v>1000</v>
      </c>
      <c r="AC15" s="19">
        <v>1</v>
      </c>
      <c r="AD15" s="19">
        <v>1</v>
      </c>
      <c r="AE15" s="19">
        <v>1</v>
      </c>
      <c r="AF15" s="19">
        <v>2</v>
      </c>
      <c r="AG15" s="19"/>
      <c r="AI15" s="19"/>
      <c r="AO15" s="20"/>
      <c r="AP15" s="19"/>
      <c r="AQ15" s="19"/>
      <c r="AR15" s="19"/>
    </row>
    <row r="16" spans="1:44" ht="15" thickBot="1" x14ac:dyDescent="0.35">
      <c r="A16" s="1">
        <v>15</v>
      </c>
      <c r="B16" s="2" t="s">
        <v>14</v>
      </c>
      <c r="C16" s="4">
        <v>1.1900000000000001E-3</v>
      </c>
      <c r="D16" s="4">
        <v>3.2000000000000003E-4</v>
      </c>
      <c r="E16" s="4">
        <v>1.34E-3</v>
      </c>
      <c r="F16" s="4">
        <v>1.2999999999999999E-4</v>
      </c>
      <c r="G16" s="4">
        <v>2.5200000000000001E-3</v>
      </c>
      <c r="H16" s="4">
        <v>8.4999999999999995E-4</v>
      </c>
      <c r="I16">
        <f t="shared" si="1"/>
        <v>2.6562499999999996</v>
      </c>
      <c r="J16">
        <f t="shared" si="2"/>
        <v>0.40624999999999994</v>
      </c>
      <c r="K16">
        <f t="shared" si="3"/>
        <v>2.1176470588235294</v>
      </c>
      <c r="L16">
        <f t="shared" si="4"/>
        <v>1.1260504201680672</v>
      </c>
      <c r="M16">
        <f t="shared" si="5"/>
        <v>0.97691535369058979</v>
      </c>
      <c r="N16">
        <f t="shared" si="0"/>
        <v>-0.90078654533818991</v>
      </c>
      <c r="O16">
        <f t="shared" si="0"/>
        <v>0.75030559439989397</v>
      </c>
      <c r="P16">
        <f t="shared" si="0"/>
        <v>0.11871630683938197</v>
      </c>
      <c r="Q16" s="16">
        <v>14</v>
      </c>
      <c r="R16" s="16">
        <v>11</v>
      </c>
      <c r="S16" s="16">
        <v>3</v>
      </c>
      <c r="T16" s="16">
        <v>5</v>
      </c>
      <c r="U16" s="16">
        <v>227.5</v>
      </c>
      <c r="V16" s="16">
        <v>47.8</v>
      </c>
      <c r="W16" s="16">
        <v>47.8</v>
      </c>
      <c r="X16" s="2" t="s">
        <v>14</v>
      </c>
      <c r="Y16" s="18">
        <v>0</v>
      </c>
      <c r="Z16" s="18">
        <v>937.5</v>
      </c>
      <c r="AA16" s="18">
        <v>909</v>
      </c>
      <c r="AB16" s="18">
        <v>1000</v>
      </c>
      <c r="AC16" s="19">
        <v>0</v>
      </c>
      <c r="AD16" s="19">
        <v>2</v>
      </c>
      <c r="AE16" s="19">
        <v>1</v>
      </c>
      <c r="AF16" s="19">
        <v>5</v>
      </c>
      <c r="AG16" s="19"/>
      <c r="AI16" s="19"/>
      <c r="AO16" s="20"/>
      <c r="AP16" s="19"/>
      <c r="AQ16" s="19"/>
      <c r="AR16" s="19"/>
    </row>
    <row r="17" spans="1:44" ht="15" thickBot="1" x14ac:dyDescent="0.35">
      <c r="A17" s="1">
        <v>16</v>
      </c>
      <c r="B17" s="2" t="s">
        <v>15</v>
      </c>
      <c r="C17" s="4">
        <v>3.96E-3</v>
      </c>
      <c r="D17" s="4">
        <v>3.7499999999999999E-3</v>
      </c>
      <c r="E17" s="4">
        <v>3.8899999999999998E-3</v>
      </c>
      <c r="F17" s="4">
        <v>6.3000000000000003E-4</v>
      </c>
      <c r="G17" s="4">
        <v>4.1149999999999999E-2</v>
      </c>
      <c r="H17" s="4">
        <v>2.9199999999999999E-3</v>
      </c>
      <c r="I17">
        <f t="shared" si="1"/>
        <v>0.77866666666666662</v>
      </c>
      <c r="J17">
        <f t="shared" si="2"/>
        <v>0.16800000000000001</v>
      </c>
      <c r="K17">
        <f t="shared" si="3"/>
        <v>10.391414141414142</v>
      </c>
      <c r="L17">
        <f t="shared" si="4"/>
        <v>0.98232323232323226</v>
      </c>
      <c r="M17">
        <f t="shared" si="5"/>
        <v>-0.2501722237021291</v>
      </c>
      <c r="N17">
        <f t="shared" si="0"/>
        <v>-1.7837912995788781</v>
      </c>
      <c r="O17">
        <f t="shared" si="0"/>
        <v>2.3409799018566897</v>
      </c>
      <c r="P17">
        <f t="shared" si="0"/>
        <v>-1.7834867636034313E-2</v>
      </c>
      <c r="Q17" s="16">
        <v>12</v>
      </c>
      <c r="R17" s="16">
        <v>1</v>
      </c>
      <c r="S17" s="16">
        <v>0</v>
      </c>
      <c r="T17" s="16">
        <v>4</v>
      </c>
      <c r="U17" s="16">
        <v>115.5</v>
      </c>
      <c r="V17" s="16">
        <v>48.5</v>
      </c>
      <c r="W17" s="16">
        <v>0</v>
      </c>
      <c r="X17" s="2" t="s">
        <v>15</v>
      </c>
      <c r="Y17" s="18">
        <v>305</v>
      </c>
      <c r="Z17" s="18">
        <v>1000</v>
      </c>
      <c r="AA17" s="18">
        <v>577</v>
      </c>
      <c r="AB17" s="18">
        <v>1000</v>
      </c>
      <c r="AC17" s="19">
        <v>1</v>
      </c>
      <c r="AD17" s="19">
        <v>1</v>
      </c>
      <c r="AE17" s="19">
        <v>1</v>
      </c>
      <c r="AF17" s="19">
        <v>1</v>
      </c>
      <c r="AG17" s="19"/>
      <c r="AI17" s="19"/>
      <c r="AO17" s="20"/>
      <c r="AP17" s="19"/>
      <c r="AQ17" s="19"/>
      <c r="AR17" s="19"/>
    </row>
    <row r="18" spans="1:44" ht="15" thickBot="1" x14ac:dyDescent="0.35">
      <c r="A18" s="1">
        <v>17</v>
      </c>
      <c r="B18" s="2" t="s">
        <v>16</v>
      </c>
      <c r="C18" s="4">
        <v>3.5500000000000002E-3</v>
      </c>
      <c r="D18" s="4">
        <v>2.0200000000000001E-3</v>
      </c>
      <c r="E18" s="4">
        <v>4.8900000000000002E-3</v>
      </c>
      <c r="F18" s="4">
        <v>1.48E-3</v>
      </c>
      <c r="G18" s="4">
        <v>3.0810000000000001E-2</v>
      </c>
      <c r="H18" s="4">
        <v>6.3400000000000001E-3</v>
      </c>
      <c r="I18">
        <f t="shared" si="1"/>
        <v>3.1386138613861387</v>
      </c>
      <c r="J18">
        <f t="shared" si="2"/>
        <v>0.73267326732673266</v>
      </c>
      <c r="K18">
        <f t="shared" si="3"/>
        <v>8.6788732394366193</v>
      </c>
      <c r="L18">
        <f t="shared" si="4"/>
        <v>1.3774647887323943</v>
      </c>
      <c r="M18">
        <f t="shared" si="5"/>
        <v>1.1437812570360213</v>
      </c>
      <c r="N18">
        <f t="shared" si="5"/>
        <v>-0.31105542363708971</v>
      </c>
      <c r="O18">
        <f t="shared" si="5"/>
        <v>2.1608917091212523</v>
      </c>
      <c r="P18">
        <f t="shared" si="5"/>
        <v>0.32024469999945621</v>
      </c>
      <c r="Q18" s="16">
        <v>6</v>
      </c>
      <c r="R18" s="16">
        <v>2</v>
      </c>
      <c r="S18" s="16">
        <v>0</v>
      </c>
      <c r="T18" s="16">
        <v>1</v>
      </c>
      <c r="U18" s="16">
        <v>167</v>
      </c>
      <c r="V18" s="16">
        <v>49.3</v>
      </c>
      <c r="W18" s="16">
        <v>0</v>
      </c>
      <c r="X18" s="2" t="s">
        <v>16</v>
      </c>
      <c r="Y18" s="18">
        <v>1000</v>
      </c>
      <c r="Z18" s="18">
        <v>685</v>
      </c>
      <c r="AA18" s="18">
        <v>1000</v>
      </c>
      <c r="AB18" s="18">
        <v>1000</v>
      </c>
      <c r="AC18" s="19">
        <v>1</v>
      </c>
      <c r="AD18" s="19">
        <v>1</v>
      </c>
      <c r="AE18" s="19">
        <v>1</v>
      </c>
      <c r="AF18" s="19">
        <v>2</v>
      </c>
      <c r="AG18" s="19"/>
      <c r="AI18" s="19"/>
      <c r="AO18" s="20"/>
      <c r="AP18" s="19"/>
      <c r="AQ18" s="19"/>
      <c r="AR18" s="19"/>
    </row>
    <row r="19" spans="1:44" ht="15" thickBot="1" x14ac:dyDescent="0.35">
      <c r="A19" s="1">
        <v>18</v>
      </c>
      <c r="B19" s="2" t="s">
        <v>17</v>
      </c>
      <c r="C19" s="4">
        <v>3.6490000000000002E-2</v>
      </c>
      <c r="D19" s="4">
        <v>2.877E-2</v>
      </c>
      <c r="E19" s="4">
        <v>2.8899999999999999E-2</v>
      </c>
      <c r="F19" s="4">
        <v>1.34E-2</v>
      </c>
      <c r="G19" s="4">
        <v>0.12299</v>
      </c>
      <c r="H19" s="4">
        <v>5.3100000000000001E-2</v>
      </c>
      <c r="I19">
        <f t="shared" si="1"/>
        <v>1.8456725755995829</v>
      </c>
      <c r="J19">
        <f t="shared" si="2"/>
        <v>0.46576294751477232</v>
      </c>
      <c r="K19">
        <f t="shared" si="3"/>
        <v>3.3705124691696353</v>
      </c>
      <c r="L19">
        <f t="shared" si="4"/>
        <v>0.79199780761852556</v>
      </c>
      <c r="M19">
        <f t="shared" si="5"/>
        <v>0.61284375068443664</v>
      </c>
      <c r="N19">
        <f t="shared" si="5"/>
        <v>-0.76407847060659084</v>
      </c>
      <c r="O19">
        <f t="shared" si="5"/>
        <v>1.2150648008059628</v>
      </c>
      <c r="P19">
        <f t="shared" si="5"/>
        <v>-0.23319665532996989</v>
      </c>
      <c r="Q19" s="16">
        <v>1</v>
      </c>
      <c r="R19" s="16">
        <v>4</v>
      </c>
      <c r="S19" s="16">
        <v>3</v>
      </c>
      <c r="T19" s="16">
        <v>1</v>
      </c>
      <c r="U19" s="16">
        <v>163</v>
      </c>
      <c r="V19" s="16">
        <v>53.8</v>
      </c>
      <c r="W19" s="16">
        <v>53.8</v>
      </c>
      <c r="X19" s="2" t="s">
        <v>17</v>
      </c>
      <c r="Y19" s="18">
        <v>1000</v>
      </c>
      <c r="Z19" s="18">
        <v>709.5</v>
      </c>
      <c r="AA19" s="18">
        <v>0</v>
      </c>
      <c r="AB19" s="18">
        <v>1000</v>
      </c>
      <c r="AC19" s="19">
        <v>2</v>
      </c>
      <c r="AD19" s="19">
        <v>1</v>
      </c>
      <c r="AE19" s="19">
        <v>0</v>
      </c>
      <c r="AF19" s="19">
        <v>3</v>
      </c>
      <c r="AG19" s="19"/>
      <c r="AI19" s="19"/>
      <c r="AP19" s="19"/>
      <c r="AQ19" s="19"/>
      <c r="AR19" s="19"/>
    </row>
    <row r="20" spans="1:44" ht="15" thickBot="1" x14ac:dyDescent="0.35">
      <c r="A20" s="1">
        <v>19</v>
      </c>
      <c r="B20" s="2" t="s">
        <v>18</v>
      </c>
      <c r="C20" s="4">
        <v>1.78E-2</v>
      </c>
      <c r="D20" s="4">
        <v>1.2449999999999999E-2</v>
      </c>
      <c r="E20" s="4">
        <v>7.0459999999999995E-2</v>
      </c>
      <c r="F20" s="4">
        <v>6.0600000000000003E-3</v>
      </c>
      <c r="G20" s="4">
        <v>3.7960000000000001E-2</v>
      </c>
      <c r="H20" s="4">
        <v>4.573E-2</v>
      </c>
      <c r="I20">
        <f t="shared" si="1"/>
        <v>3.6730923694779118</v>
      </c>
      <c r="J20">
        <f t="shared" si="2"/>
        <v>0.48674698795180726</v>
      </c>
      <c r="K20">
        <f t="shared" si="3"/>
        <v>2.1325842696629214</v>
      </c>
      <c r="L20">
        <f t="shared" si="4"/>
        <v>3.9584269662921345</v>
      </c>
      <c r="M20">
        <f t="shared" si="5"/>
        <v>1.3010339147592473</v>
      </c>
      <c r="N20">
        <f t="shared" si="5"/>
        <v>-0.72001082282949347</v>
      </c>
      <c r="O20">
        <f t="shared" si="5"/>
        <v>0.75733451644368766</v>
      </c>
      <c r="P20">
        <f t="shared" si="5"/>
        <v>1.375846715615052</v>
      </c>
      <c r="Q20" s="16">
        <v>4</v>
      </c>
      <c r="R20" s="16">
        <v>1</v>
      </c>
      <c r="S20" s="16">
        <v>1</v>
      </c>
      <c r="T20" s="16">
        <v>1</v>
      </c>
      <c r="U20" s="16">
        <v>141.5</v>
      </c>
      <c r="V20" s="16">
        <v>40.799999999999997</v>
      </c>
      <c r="W20" s="16">
        <v>40.799999999999997</v>
      </c>
      <c r="X20" s="2" t="s">
        <v>18</v>
      </c>
      <c r="Y20" s="18">
        <v>1000</v>
      </c>
      <c r="Z20" s="18">
        <v>859.5</v>
      </c>
      <c r="AA20" s="18">
        <v>0</v>
      </c>
      <c r="AB20" s="18">
        <v>1000</v>
      </c>
      <c r="AC20" s="19">
        <v>1</v>
      </c>
      <c r="AD20" s="19">
        <v>1</v>
      </c>
      <c r="AE20" s="19">
        <v>0</v>
      </c>
      <c r="AF20" s="19">
        <v>1</v>
      </c>
      <c r="AG20" s="19"/>
      <c r="AI20" s="19"/>
      <c r="AO20" s="20"/>
      <c r="AP20" s="19"/>
      <c r="AQ20" s="19"/>
      <c r="AR20" s="19"/>
    </row>
    <row r="21" spans="1:44" ht="15" thickBot="1" x14ac:dyDescent="0.35">
      <c r="A21" s="6">
        <v>20</v>
      </c>
      <c r="B21" s="7" t="s">
        <v>19</v>
      </c>
      <c r="C21" s="8">
        <v>5.1959999999999999E-2</v>
      </c>
      <c r="D21" s="8">
        <v>3.4869999999999998E-2</v>
      </c>
      <c r="E21" s="8">
        <v>0.18215999999999999</v>
      </c>
      <c r="F21" s="8">
        <v>1.146E-2</v>
      </c>
      <c r="G21" s="8">
        <v>0.23568</v>
      </c>
      <c r="H21" s="8">
        <v>0.13455</v>
      </c>
      <c r="I21" s="23">
        <f t="shared" si="1"/>
        <v>3.8586177229710357</v>
      </c>
      <c r="J21" s="23">
        <f t="shared" si="2"/>
        <v>0.32864926871236022</v>
      </c>
      <c r="K21" s="23">
        <f t="shared" si="3"/>
        <v>4.5357967667436494</v>
      </c>
      <c r="L21" s="23">
        <f t="shared" si="4"/>
        <v>3.5057736720554269</v>
      </c>
      <c r="M21" s="24">
        <f t="shared" si="5"/>
        <v>1.3503090164853551</v>
      </c>
      <c r="N21" s="24">
        <f t="shared" si="5"/>
        <v>-1.1127641494009661</v>
      </c>
      <c r="O21" s="24">
        <f t="shared" si="5"/>
        <v>1.5120007609119215</v>
      </c>
      <c r="P21" s="24">
        <f t="shared" si="5"/>
        <v>1.2544112299530852</v>
      </c>
      <c r="Q21" s="16">
        <v>1</v>
      </c>
      <c r="R21" s="16">
        <v>3</v>
      </c>
      <c r="S21" s="16">
        <v>3</v>
      </c>
      <c r="T21" s="16">
        <v>1</v>
      </c>
      <c r="U21" s="16">
        <v>217</v>
      </c>
      <c r="V21" s="16">
        <v>37.6</v>
      </c>
      <c r="W21" s="16">
        <v>37.6</v>
      </c>
      <c r="X21" s="2" t="s">
        <v>19</v>
      </c>
      <c r="Y21" s="26">
        <v>912</v>
      </c>
      <c r="Z21" s="26">
        <v>370</v>
      </c>
      <c r="AA21">
        <v>0</v>
      </c>
      <c r="AB21">
        <v>1000</v>
      </c>
      <c r="AE21">
        <v>0</v>
      </c>
      <c r="AF21">
        <v>2</v>
      </c>
    </row>
    <row r="22" spans="1:44" ht="15" thickBot="1" x14ac:dyDescent="0.35">
      <c r="A22" s="6">
        <v>21</v>
      </c>
      <c r="B22" s="7" t="s">
        <v>20</v>
      </c>
      <c r="C22" s="8">
        <v>8.6910000000000001E-2</v>
      </c>
      <c r="D22" s="8">
        <v>5.7509999999999999E-2</v>
      </c>
      <c r="E22" s="8">
        <v>0.13686999999999999</v>
      </c>
      <c r="F22" s="8">
        <v>2.4199999999999999E-2</v>
      </c>
      <c r="G22" s="8">
        <v>0.32751000000000002</v>
      </c>
      <c r="H22" s="8">
        <v>0.16184000000000001</v>
      </c>
      <c r="I22" s="23">
        <f t="shared" si="1"/>
        <v>2.8141192836028521</v>
      </c>
      <c r="J22" s="23">
        <f t="shared" si="2"/>
        <v>0.4207963832376978</v>
      </c>
      <c r="K22" s="23">
        <f t="shared" si="3"/>
        <v>3.7683810838798761</v>
      </c>
      <c r="L22" s="23">
        <f t="shared" si="4"/>
        <v>1.5748475434357381</v>
      </c>
      <c r="M22" s="24">
        <f t="shared" si="5"/>
        <v>1.0346493471338274</v>
      </c>
      <c r="N22" s="24">
        <f t="shared" si="5"/>
        <v>-0.86560621256302206</v>
      </c>
      <c r="O22" s="24">
        <f t="shared" si="5"/>
        <v>1.3266454885109191</v>
      </c>
      <c r="P22" s="24">
        <f t="shared" si="5"/>
        <v>0.45415846977380619</v>
      </c>
      <c r="Q22" s="16">
        <v>9</v>
      </c>
      <c r="R22" s="16">
        <v>2</v>
      </c>
      <c r="S22" s="16">
        <v>1</v>
      </c>
      <c r="T22" s="16">
        <v>1</v>
      </c>
      <c r="U22" s="16">
        <v>181.5</v>
      </c>
      <c r="V22" s="16">
        <v>35.4</v>
      </c>
      <c r="W22" s="16">
        <v>33.799999999999997</v>
      </c>
      <c r="X22" s="2" t="s">
        <v>20</v>
      </c>
      <c r="Y22">
        <v>1000</v>
      </c>
      <c r="Z22">
        <v>185</v>
      </c>
      <c r="AA22">
        <v>1000</v>
      </c>
      <c r="AB22">
        <v>1000</v>
      </c>
      <c r="AC22">
        <v>1</v>
      </c>
      <c r="AD22">
        <v>1</v>
      </c>
      <c r="AE22">
        <v>1</v>
      </c>
      <c r="AF22">
        <v>2</v>
      </c>
    </row>
    <row r="23" spans="1:44" ht="15" thickBot="1" x14ac:dyDescent="0.35">
      <c r="A23" s="6">
        <v>23</v>
      </c>
      <c r="B23" s="7" t="s">
        <v>21</v>
      </c>
      <c r="C23" s="8">
        <v>2.8750000000000001E-2</v>
      </c>
      <c r="D23" s="8">
        <v>2.3449999999999999E-2</v>
      </c>
      <c r="E23" s="8">
        <v>5.2780000000000001E-2</v>
      </c>
      <c r="F23" s="8">
        <v>1.027E-2</v>
      </c>
      <c r="G23" s="8">
        <v>9.6750000000000003E-2</v>
      </c>
      <c r="H23" s="8">
        <v>6.7229999999999998E-2</v>
      </c>
      <c r="I23" s="23">
        <f t="shared" ref="I23:I29" si="6">H23/D23</f>
        <v>2.8669509594882729</v>
      </c>
      <c r="J23" s="23">
        <f t="shared" ref="J23:J29" si="7">F23/D23</f>
        <v>0.43795309168443497</v>
      </c>
      <c r="K23" s="23">
        <f t="shared" ref="K23:K29" si="8">G23/C23</f>
        <v>3.3652173913043479</v>
      </c>
      <c r="L23" s="23">
        <f t="shared" ref="L23:L29" si="9">E23/C23</f>
        <v>1.8358260869565217</v>
      </c>
      <c r="M23" s="24">
        <f t="shared" ref="M23:P29" si="10">LN(I23)</f>
        <v>1.053249081588657</v>
      </c>
      <c r="N23" s="24">
        <f t="shared" si="10"/>
        <v>-0.82564347095182156</v>
      </c>
      <c r="O23" s="24">
        <f t="shared" si="10"/>
        <v>1.2134925646665318</v>
      </c>
      <c r="P23" s="24">
        <f t="shared" si="10"/>
        <v>0.60749456383181855</v>
      </c>
      <c r="Q23" s="16">
        <v>4</v>
      </c>
      <c r="R23" s="16">
        <v>1</v>
      </c>
      <c r="S23" s="16">
        <v>0</v>
      </c>
      <c r="T23" s="16">
        <v>1</v>
      </c>
      <c r="U23" s="16">
        <v>208.5</v>
      </c>
      <c r="V23" s="16">
        <v>46.5</v>
      </c>
      <c r="W23" s="16">
        <v>0</v>
      </c>
      <c r="X23" s="2" t="s">
        <v>21</v>
      </c>
      <c r="Y23" s="26">
        <v>0</v>
      </c>
      <c r="Z23" s="26">
        <v>909</v>
      </c>
      <c r="AA23" s="26">
        <v>0</v>
      </c>
      <c r="AB23">
        <v>994</v>
      </c>
      <c r="AC23" s="26">
        <v>0</v>
      </c>
      <c r="AD23" s="26">
        <v>1</v>
      </c>
      <c r="AE23" s="26">
        <v>0</v>
      </c>
      <c r="AF23">
        <v>1</v>
      </c>
    </row>
    <row r="24" spans="1:44" ht="15" thickBot="1" x14ac:dyDescent="0.35">
      <c r="A24" s="6">
        <v>24</v>
      </c>
      <c r="B24" s="7" t="s">
        <v>22</v>
      </c>
      <c r="C24" s="8">
        <v>8.2949999999999996E-2</v>
      </c>
      <c r="D24" s="8">
        <v>5.8810000000000001E-2</v>
      </c>
      <c r="E24" s="8">
        <v>0.18770000000000001</v>
      </c>
      <c r="F24" s="8">
        <v>5.679E-2</v>
      </c>
      <c r="G24" s="8">
        <v>0.31944</v>
      </c>
      <c r="H24" s="8">
        <v>0.23219000000000001</v>
      </c>
      <c r="I24" s="23">
        <f t="shared" si="6"/>
        <v>3.948138071756504</v>
      </c>
      <c r="J24" s="23">
        <f t="shared" si="7"/>
        <v>0.96565209998299606</v>
      </c>
      <c r="K24" s="23">
        <f t="shared" si="8"/>
        <v>3.8509945750452084</v>
      </c>
      <c r="L24" s="23">
        <f t="shared" si="9"/>
        <v>2.2628089210367692</v>
      </c>
      <c r="M24" s="24">
        <f t="shared" si="10"/>
        <v>1.3732440935424097</v>
      </c>
      <c r="N24" s="24">
        <f t="shared" si="10"/>
        <v>-3.4951654582523466E-2</v>
      </c>
      <c r="O24" s="24">
        <f t="shared" si="10"/>
        <v>1.3483314461185125</v>
      </c>
      <c r="P24" s="24">
        <f t="shared" si="10"/>
        <v>0.81660692695600967</v>
      </c>
      <c r="Q24">
        <v>1</v>
      </c>
      <c r="R24">
        <v>1</v>
      </c>
      <c r="S24">
        <v>1</v>
      </c>
      <c r="T24">
        <v>1</v>
      </c>
      <c r="U24">
        <v>181</v>
      </c>
      <c r="V24">
        <v>40.299999999999997</v>
      </c>
      <c r="W24">
        <v>40.299999999999997</v>
      </c>
      <c r="X24" s="2" t="s">
        <v>22</v>
      </c>
      <c r="Y24">
        <v>1000</v>
      </c>
      <c r="Z24">
        <v>611</v>
      </c>
      <c r="AA24">
        <v>674</v>
      </c>
      <c r="AB24">
        <v>1000</v>
      </c>
      <c r="AC24">
        <v>1</v>
      </c>
      <c r="AD24">
        <v>1</v>
      </c>
      <c r="AE24">
        <v>2</v>
      </c>
      <c r="AF24">
        <v>1</v>
      </c>
    </row>
    <row r="25" spans="1:44" ht="15" thickBot="1" x14ac:dyDescent="0.35">
      <c r="A25" s="6">
        <v>25</v>
      </c>
      <c r="B25" s="7" t="s">
        <v>23</v>
      </c>
      <c r="C25" s="8">
        <v>1.5299999999999999E-3</v>
      </c>
      <c r="D25" s="8">
        <v>1.3699999999999999E-3</v>
      </c>
      <c r="E25" s="8">
        <v>2.97E-3</v>
      </c>
      <c r="F25" s="8">
        <v>6.9999999999999994E-5</v>
      </c>
      <c r="G25" s="8">
        <v>4.96E-3</v>
      </c>
      <c r="H25" s="8">
        <v>3.49E-3</v>
      </c>
      <c r="I25" s="23">
        <f t="shared" si="6"/>
        <v>2.5474452554744529</v>
      </c>
      <c r="J25" s="23">
        <f t="shared" si="7"/>
        <v>5.1094890510948905E-2</v>
      </c>
      <c r="K25" s="23">
        <f t="shared" si="8"/>
        <v>3.2418300653594772</v>
      </c>
      <c r="L25" s="23">
        <f t="shared" si="9"/>
        <v>1.9411764705882355</v>
      </c>
      <c r="M25" s="24">
        <f t="shared" si="10"/>
        <v>0.93509099637430237</v>
      </c>
      <c r="N25" s="24">
        <f t="shared" si="10"/>
        <v>-2.9740707767728116</v>
      </c>
      <c r="O25" s="24">
        <f t="shared" si="10"/>
        <v>1.1761380053324921</v>
      </c>
      <c r="P25" s="24">
        <f t="shared" si="10"/>
        <v>0.66329421741026429</v>
      </c>
      <c r="Q25">
        <v>4</v>
      </c>
      <c r="R25">
        <v>1</v>
      </c>
      <c r="S25">
        <v>0</v>
      </c>
      <c r="T25">
        <v>1</v>
      </c>
      <c r="U25">
        <v>76.5</v>
      </c>
      <c r="V25">
        <v>46.5</v>
      </c>
      <c r="W25">
        <v>0</v>
      </c>
      <c r="X25" s="2" t="s">
        <v>23</v>
      </c>
      <c r="Y25">
        <v>1000</v>
      </c>
      <c r="Z25">
        <v>685</v>
      </c>
      <c r="AA25">
        <v>942</v>
      </c>
      <c r="AB25">
        <v>1000</v>
      </c>
      <c r="AC25">
        <v>1</v>
      </c>
      <c r="AD25">
        <v>1</v>
      </c>
      <c r="AE25">
        <v>1</v>
      </c>
      <c r="AF25">
        <v>1</v>
      </c>
    </row>
    <row r="26" spans="1:44" ht="15" thickBot="1" x14ac:dyDescent="0.35">
      <c r="A26" s="6">
        <v>26</v>
      </c>
      <c r="B26" s="7" t="s">
        <v>24</v>
      </c>
      <c r="C26" s="8">
        <v>1.115E-2</v>
      </c>
      <c r="D26" s="8">
        <v>1.112E-2</v>
      </c>
      <c r="E26" s="8">
        <v>9.75E-3</v>
      </c>
      <c r="F26" s="8">
        <v>3.9500000000000004E-3</v>
      </c>
      <c r="G26" s="8">
        <v>4.8140000000000002E-2</v>
      </c>
      <c r="H26" s="8">
        <v>2.027E-2</v>
      </c>
      <c r="I26" s="23">
        <f t="shared" si="6"/>
        <v>1.8228417266187051</v>
      </c>
      <c r="J26" s="23">
        <f t="shared" si="7"/>
        <v>0.35521582733812956</v>
      </c>
      <c r="K26" s="23">
        <f t="shared" si="8"/>
        <v>4.3174887892376681</v>
      </c>
      <c r="L26" s="23">
        <f t="shared" si="9"/>
        <v>0.87443946188340804</v>
      </c>
      <c r="M26" s="24">
        <f t="shared" si="10"/>
        <v>0.60039667164147237</v>
      </c>
      <c r="N26" s="24">
        <f t="shared" si="10"/>
        <v>-1.0350297099094057</v>
      </c>
      <c r="O26" s="24">
        <f t="shared" si="10"/>
        <v>1.462673934448798</v>
      </c>
      <c r="P26" s="24">
        <f t="shared" si="10"/>
        <v>-0.13417221289637199</v>
      </c>
      <c r="Q26">
        <v>6</v>
      </c>
      <c r="R26">
        <v>2</v>
      </c>
      <c r="S26">
        <v>0</v>
      </c>
      <c r="T26">
        <v>1</v>
      </c>
      <c r="U26">
        <v>216.5</v>
      </c>
      <c r="V26">
        <v>45.5</v>
      </c>
      <c r="W26">
        <v>0</v>
      </c>
      <c r="X26" s="2" t="s">
        <v>24</v>
      </c>
      <c r="Y26">
        <v>674.5</v>
      </c>
      <c r="Z26">
        <v>389</v>
      </c>
      <c r="AA26">
        <v>776</v>
      </c>
      <c r="AB26">
        <v>1000</v>
      </c>
      <c r="AC26">
        <v>2</v>
      </c>
      <c r="AD26">
        <v>1</v>
      </c>
      <c r="AE26">
        <v>1</v>
      </c>
      <c r="AF26">
        <v>3</v>
      </c>
    </row>
    <row r="27" spans="1:44" ht="15" thickBot="1" x14ac:dyDescent="0.35">
      <c r="A27" s="6">
        <v>27</v>
      </c>
      <c r="B27" s="7" t="s">
        <v>25</v>
      </c>
      <c r="C27" s="8">
        <v>1.3129999999999999E-2</v>
      </c>
      <c r="D27" s="8">
        <v>8.3700000000000007E-3</v>
      </c>
      <c r="E27" s="8">
        <v>1.269E-2</v>
      </c>
      <c r="F27" s="8">
        <v>1.1E-4</v>
      </c>
      <c r="G27" s="8">
        <v>1.8919999999999999E-2</v>
      </c>
      <c r="H27" s="8">
        <v>3.7870000000000001E-2</v>
      </c>
      <c r="I27" s="23">
        <f t="shared" si="6"/>
        <v>4.524492234169653</v>
      </c>
      <c r="J27" s="23">
        <f t="shared" si="7"/>
        <v>1.3142174432497012E-2</v>
      </c>
      <c r="K27" s="23">
        <f t="shared" si="8"/>
        <v>1.4409748667174409</v>
      </c>
      <c r="L27" s="23">
        <f t="shared" si="9"/>
        <v>0.96648895658796652</v>
      </c>
      <c r="M27" s="24">
        <f t="shared" si="10"/>
        <v>1.5095053574123194</v>
      </c>
      <c r="N27" s="24">
        <f t="shared" si="10"/>
        <v>-4.3319287976911047</v>
      </c>
      <c r="O27" s="24">
        <f t="shared" si="10"/>
        <v>0.36531987530902738</v>
      </c>
      <c r="P27" s="24">
        <f t="shared" si="10"/>
        <v>-3.4085406588408494E-2</v>
      </c>
      <c r="Q27">
        <v>2</v>
      </c>
      <c r="R27">
        <v>1</v>
      </c>
      <c r="S27">
        <v>1</v>
      </c>
      <c r="T27">
        <v>1</v>
      </c>
      <c r="U27">
        <v>84</v>
      </c>
      <c r="V27">
        <v>38.200000000000003</v>
      </c>
      <c r="W27">
        <v>38.200000000000003</v>
      </c>
      <c r="X27" s="2" t="s">
        <v>25</v>
      </c>
      <c r="Y27">
        <v>0</v>
      </c>
      <c r="Z27">
        <v>609</v>
      </c>
      <c r="AA27">
        <v>0</v>
      </c>
      <c r="AB27">
        <v>1000</v>
      </c>
      <c r="AC27">
        <v>0</v>
      </c>
      <c r="AD27">
        <v>1</v>
      </c>
      <c r="AE27">
        <v>0</v>
      </c>
      <c r="AF27">
        <v>1</v>
      </c>
    </row>
    <row r="28" spans="1:44" ht="15" thickBot="1" x14ac:dyDescent="0.35">
      <c r="A28" s="6">
        <v>28</v>
      </c>
      <c r="B28" s="7" t="s">
        <v>26</v>
      </c>
      <c r="C28" s="8">
        <v>0.12232</v>
      </c>
      <c r="D28" s="8">
        <v>2.862E-2</v>
      </c>
      <c r="E28" s="8">
        <v>0.12014</v>
      </c>
      <c r="F28" s="8">
        <v>8.6499999999999997E-3</v>
      </c>
      <c r="G28" s="8">
        <v>0.12922</v>
      </c>
      <c r="H28" s="8">
        <v>0.36829000000000001</v>
      </c>
      <c r="I28" s="23">
        <f t="shared" si="6"/>
        <v>12.86827393431167</v>
      </c>
      <c r="J28" s="23">
        <f t="shared" si="7"/>
        <v>0.30223619846261357</v>
      </c>
      <c r="K28" s="23">
        <f t="shared" si="8"/>
        <v>1.0564094179202093</v>
      </c>
      <c r="L28" s="23">
        <f t="shared" si="9"/>
        <v>0.98217789404839762</v>
      </c>
      <c r="M28" s="24">
        <f t="shared" si="10"/>
        <v>2.5547648971756569</v>
      </c>
      <c r="N28" s="24">
        <f t="shared" si="10"/>
        <v>-1.1965464531845169</v>
      </c>
      <c r="O28" s="24">
        <f t="shared" si="10"/>
        <v>5.4875816509212513E-2</v>
      </c>
      <c r="P28" s="24">
        <f t="shared" si="10"/>
        <v>-1.7982832198791522E-2</v>
      </c>
      <c r="Q28">
        <v>6</v>
      </c>
      <c r="R28">
        <v>5</v>
      </c>
      <c r="S28">
        <v>1</v>
      </c>
      <c r="T28">
        <v>2</v>
      </c>
      <c r="U28">
        <v>188.5</v>
      </c>
      <c r="V28">
        <v>47.5</v>
      </c>
      <c r="W28">
        <v>41.7</v>
      </c>
      <c r="X28" s="2" t="s">
        <v>26</v>
      </c>
      <c r="Y28">
        <v>0</v>
      </c>
      <c r="Z28">
        <v>185</v>
      </c>
      <c r="AA28">
        <v>370</v>
      </c>
      <c r="AB28">
        <v>1000</v>
      </c>
      <c r="AC28">
        <v>0</v>
      </c>
      <c r="AD28">
        <v>1</v>
      </c>
      <c r="AE28">
        <v>1</v>
      </c>
      <c r="AF28">
        <v>1</v>
      </c>
    </row>
    <row r="29" spans="1:44" ht="15" thickBot="1" x14ac:dyDescent="0.35">
      <c r="A29" s="6">
        <v>29</v>
      </c>
      <c r="B29" s="7" t="s">
        <v>27</v>
      </c>
      <c r="C29" s="8">
        <v>1.187E-2</v>
      </c>
      <c r="D29" s="8">
        <v>6.5500000000000003E-3</v>
      </c>
      <c r="E29" s="8">
        <v>1.3100000000000001E-2</v>
      </c>
      <c r="F29" s="8">
        <v>1.8000000000000001E-4</v>
      </c>
      <c r="G29" s="8">
        <v>7.5310000000000002E-2</v>
      </c>
      <c r="H29" s="8">
        <v>1.6719999999999999E-2</v>
      </c>
      <c r="I29" s="23">
        <f t="shared" si="6"/>
        <v>2.5526717557251906</v>
      </c>
      <c r="J29" s="23">
        <f t="shared" si="7"/>
        <v>2.748091603053435E-2</v>
      </c>
      <c r="K29" s="23">
        <f t="shared" si="8"/>
        <v>6.3445661331086773</v>
      </c>
      <c r="L29" s="23">
        <f t="shared" si="9"/>
        <v>1.1036225779275484</v>
      </c>
      <c r="M29" s="24">
        <f t="shared" si="10"/>
        <v>0.93714055800939489</v>
      </c>
      <c r="N29" s="24">
        <f t="shared" si="10"/>
        <v>-3.5942634777390872</v>
      </c>
      <c r="O29" s="24">
        <f t="shared" si="10"/>
        <v>1.8475987194916836</v>
      </c>
      <c r="P29" s="24">
        <f t="shared" si="10"/>
        <v>9.8598021585529119E-2</v>
      </c>
      <c r="X29" s="2" t="s">
        <v>27</v>
      </c>
    </row>
    <row r="30" spans="1:44" ht="54" thickBot="1" x14ac:dyDescent="0.35">
      <c r="A30" s="1"/>
      <c r="B30" s="2"/>
      <c r="C30" s="5"/>
      <c r="D30" s="5"/>
      <c r="E30" s="5"/>
      <c r="F30" s="5"/>
      <c r="G30" s="5"/>
      <c r="H30" s="5"/>
      <c r="Q30" s="9" t="s">
        <v>42</v>
      </c>
      <c r="R30" s="9" t="s">
        <v>43</v>
      </c>
      <c r="S30" s="9" t="s">
        <v>44</v>
      </c>
      <c r="T30" s="9" t="s">
        <v>63</v>
      </c>
      <c r="U30" s="9" t="s">
        <v>64</v>
      </c>
      <c r="V30" s="9" t="s">
        <v>45</v>
      </c>
      <c r="W30" s="9" t="s">
        <v>46</v>
      </c>
      <c r="X30" s="27" t="s">
        <v>73</v>
      </c>
      <c r="Y30" s="11" t="s">
        <v>51</v>
      </c>
      <c r="Z30" s="11" t="s">
        <v>52</v>
      </c>
      <c r="AA30" s="11" t="s">
        <v>53</v>
      </c>
      <c r="AB30" s="11" t="s">
        <v>54</v>
      </c>
      <c r="AC30" s="12" t="s">
        <v>55</v>
      </c>
      <c r="AD30" s="12" t="s">
        <v>56</v>
      </c>
      <c r="AE30" s="12" t="s">
        <v>57</v>
      </c>
      <c r="AF30" s="12" t="s">
        <v>58</v>
      </c>
    </row>
    <row r="31" spans="1:44" ht="15" thickBot="1" x14ac:dyDescent="0.35">
      <c r="A31" s="1"/>
      <c r="B31" s="2"/>
      <c r="C31" s="5"/>
      <c r="D31" s="5"/>
      <c r="E31" s="5"/>
      <c r="F31" s="5"/>
      <c r="G31" s="5"/>
      <c r="H31" s="5"/>
      <c r="X31" s="2"/>
    </row>
    <row r="39" spans="11:18" x14ac:dyDescent="0.3">
      <c r="K39" t="s">
        <v>69</v>
      </c>
      <c r="L39" t="s">
        <v>72</v>
      </c>
      <c r="M39" t="s">
        <v>68</v>
      </c>
      <c r="N39" t="s">
        <v>66</v>
      </c>
      <c r="O39" t="s">
        <v>70</v>
      </c>
      <c r="P39" t="s">
        <v>67</v>
      </c>
      <c r="Q39" t="s">
        <v>71</v>
      </c>
      <c r="R39" t="s">
        <v>65</v>
      </c>
    </row>
    <row r="40" spans="11:18" x14ac:dyDescent="0.3">
      <c r="K40">
        <v>0.87546873735389985</v>
      </c>
      <c r="L40">
        <v>1.3503090164853551</v>
      </c>
      <c r="M40">
        <v>1.3268709406490899</v>
      </c>
      <c r="N40">
        <v>1.5120007609119215</v>
      </c>
      <c r="O40">
        <v>-0.48550781578170055</v>
      </c>
      <c r="P40">
        <v>1.2544112299530852</v>
      </c>
      <c r="Q40">
        <v>-0.10536051565782628</v>
      </c>
      <c r="R40">
        <v>-1.1127641494009661</v>
      </c>
    </row>
    <row r="41" spans="11:18" x14ac:dyDescent="0.3">
      <c r="K41">
        <v>1.5423502104713296</v>
      </c>
      <c r="L41">
        <v>1.0346493471338274</v>
      </c>
      <c r="M41">
        <v>1.5595678313779862</v>
      </c>
      <c r="N41">
        <v>1.3266454885109191</v>
      </c>
      <c r="O41">
        <v>1.1129486551232555</v>
      </c>
      <c r="P41">
        <v>0.45415846977380619</v>
      </c>
      <c r="Q41">
        <v>-0.49198749881195808</v>
      </c>
      <c r="R41">
        <v>-0.86560621256302206</v>
      </c>
    </row>
    <row r="42" spans="11:18" x14ac:dyDescent="0.3">
      <c r="K42">
        <v>0.7537718023763802</v>
      </c>
      <c r="L42">
        <v>1.053249081588657</v>
      </c>
      <c r="M42">
        <v>2.5952547069568657</v>
      </c>
      <c r="N42">
        <v>1.2134925646665318</v>
      </c>
      <c r="O42">
        <v>0.26236426446749089</v>
      </c>
      <c r="P42">
        <v>0.60749456383181855</v>
      </c>
      <c r="Q42">
        <v>0.22314355131420976</v>
      </c>
      <c r="R42">
        <v>-0.82564347095182156</v>
      </c>
    </row>
    <row r="43" spans="11:18" x14ac:dyDescent="0.3">
      <c r="K43">
        <v>0.34515342636625967</v>
      </c>
      <c r="L43">
        <v>1.3732440935424097</v>
      </c>
      <c r="M43">
        <v>2.0223665856645243</v>
      </c>
      <c r="N43">
        <v>1.3483314461185125</v>
      </c>
      <c r="O43">
        <v>1.0902535773872268</v>
      </c>
      <c r="P43">
        <v>0.81660692695600967</v>
      </c>
      <c r="Q43">
        <v>-5.872117789475416</v>
      </c>
      <c r="R43">
        <v>-3.4951654582523466E-2</v>
      </c>
    </row>
    <row r="44" spans="11:18" x14ac:dyDescent="0.3">
      <c r="K44">
        <v>0.55021996310253662</v>
      </c>
      <c r="L44">
        <v>0.93509099637430237</v>
      </c>
      <c r="M44">
        <v>1.1986556630483156</v>
      </c>
      <c r="N44">
        <v>1.1761380053324921</v>
      </c>
      <c r="O44">
        <v>0.39870832564528452</v>
      </c>
      <c r="P44">
        <v>0.66329421741026429</v>
      </c>
      <c r="Q44">
        <v>-1.4685969567608645</v>
      </c>
      <c r="R44">
        <v>-2.9740707767728116</v>
      </c>
    </row>
    <row r="45" spans="11:18" x14ac:dyDescent="0.3">
      <c r="K45">
        <v>0.23008951631988878</v>
      </c>
      <c r="L45">
        <v>0.60039667164147237</v>
      </c>
      <c r="M45">
        <v>0.80196861685136367</v>
      </c>
      <c r="N45">
        <v>1.462673934448798</v>
      </c>
      <c r="O45">
        <v>-0.37525712145166851</v>
      </c>
      <c r="P45">
        <v>-0.13417221289637199</v>
      </c>
      <c r="Q45">
        <v>-1.306574801787354</v>
      </c>
      <c r="R45">
        <v>-1.0350297099094057</v>
      </c>
    </row>
    <row r="46" spans="11:18" x14ac:dyDescent="0.3">
      <c r="K46">
        <v>1.0358059150386572</v>
      </c>
      <c r="L46">
        <v>1.5095053574123194</v>
      </c>
      <c r="M46">
        <v>1.0593859185903283</v>
      </c>
      <c r="N46">
        <v>0.36531987530902738</v>
      </c>
      <c r="O46">
        <v>0.36968916908641697</v>
      </c>
      <c r="P46">
        <v>-3.4085406588408494E-2</v>
      </c>
      <c r="Q46">
        <v>-1.5671984832328718</v>
      </c>
      <c r="R46">
        <v>-4.3319287976911047</v>
      </c>
    </row>
    <row r="47" spans="11:18" x14ac:dyDescent="0.3">
      <c r="K47">
        <v>0.47586575894253114</v>
      </c>
      <c r="L47">
        <v>2.5547648971756569</v>
      </c>
      <c r="M47">
        <v>1.4204965548834336</v>
      </c>
      <c r="N47">
        <v>5.4875816509212513E-2</v>
      </c>
      <c r="O47">
        <v>0.20441251460814663</v>
      </c>
      <c r="P47">
        <v>-1.7982832198791522E-2</v>
      </c>
      <c r="Q47">
        <v>-0.65502822245633541</v>
      </c>
      <c r="R47">
        <v>-1.1965464531845169</v>
      </c>
    </row>
    <row r="48" spans="11:18" x14ac:dyDescent="0.3">
      <c r="K48">
        <v>1.7199819684276003</v>
      </c>
      <c r="L48">
        <v>0.93714055800939489</v>
      </c>
      <c r="M48">
        <v>1.9550653528170705</v>
      </c>
      <c r="N48">
        <v>1.8475987194916836</v>
      </c>
      <c r="O48">
        <v>1.4457245103186589</v>
      </c>
      <c r="P48">
        <v>9.8598021585529119E-2</v>
      </c>
      <c r="Q48">
        <v>-2.0813194765040359</v>
      </c>
      <c r="R48">
        <v>-3.5942634777390872</v>
      </c>
    </row>
    <row r="49" spans="11:17" x14ac:dyDescent="0.3">
      <c r="K49">
        <v>0.58737352711479252</v>
      </c>
      <c r="M49">
        <v>1.1921548656385694</v>
      </c>
      <c r="O49">
        <v>0.3616578831039558</v>
      </c>
      <c r="Q49">
        <v>-1.4675769945567476</v>
      </c>
    </row>
    <row r="50" spans="11:17" x14ac:dyDescent="0.3">
      <c r="K50">
        <v>1.4982122773238757</v>
      </c>
      <c r="M50">
        <v>2.473733349189875</v>
      </c>
      <c r="O50">
        <v>1.7404661748405046</v>
      </c>
      <c r="Q50">
        <v>-0.30538164955118208</v>
      </c>
    </row>
    <row r="51" spans="11:17" x14ac:dyDescent="0.3">
      <c r="K51">
        <v>1.0076405104623831</v>
      </c>
      <c r="M51">
        <v>2.1216660609741766</v>
      </c>
      <c r="O51">
        <v>1.1591222381605841</v>
      </c>
      <c r="Q51">
        <v>-1.2636920390275583</v>
      </c>
    </row>
    <row r="52" spans="11:17" x14ac:dyDescent="0.3">
      <c r="K52">
        <v>1.4961170472333727</v>
      </c>
      <c r="M52">
        <v>1.5572047570285876</v>
      </c>
      <c r="O52">
        <v>0.76509525397824185</v>
      </c>
      <c r="Q52">
        <v>-1.3100939002344765</v>
      </c>
    </row>
    <row r="53" spans="11:17" x14ac:dyDescent="0.3">
      <c r="K53">
        <v>1.2305314778058336</v>
      </c>
      <c r="M53">
        <v>0.93083537794726379</v>
      </c>
      <c r="O53">
        <v>0.748029160648499</v>
      </c>
      <c r="Q53">
        <v>-0.90244648676281403</v>
      </c>
    </row>
    <row r="54" spans="11:17" x14ac:dyDescent="0.3">
      <c r="K54">
        <v>0.97691535369058979</v>
      </c>
      <c r="M54">
        <v>0.75030559439989397</v>
      </c>
      <c r="O54">
        <v>0.11871630683938197</v>
      </c>
      <c r="Q54">
        <v>-0.90078654533818991</v>
      </c>
    </row>
    <row r="55" spans="11:17" x14ac:dyDescent="0.3">
      <c r="K55">
        <v>-0.2501722237021291</v>
      </c>
      <c r="M55">
        <v>2.3409799018566897</v>
      </c>
      <c r="O55">
        <v>-1.7834867636034313E-2</v>
      </c>
      <c r="Q55">
        <v>-1.7837912995788781</v>
      </c>
    </row>
    <row r="56" spans="11:17" x14ac:dyDescent="0.3">
      <c r="K56">
        <v>1.1437812570360213</v>
      </c>
      <c r="M56">
        <v>2.1608917091212523</v>
      </c>
      <c r="O56">
        <v>0.32024469999945621</v>
      </c>
      <c r="Q56">
        <v>-0.31105542363708971</v>
      </c>
    </row>
    <row r="57" spans="11:17" x14ac:dyDescent="0.3">
      <c r="K57">
        <v>0.61284375068443664</v>
      </c>
      <c r="M57">
        <v>1.2150648008059628</v>
      </c>
      <c r="O57">
        <v>-0.23319665532996989</v>
      </c>
      <c r="Q57">
        <v>-0.76407847060659084</v>
      </c>
    </row>
    <row r="58" spans="11:17" x14ac:dyDescent="0.3">
      <c r="K58">
        <v>1.3010339147592473</v>
      </c>
      <c r="M58">
        <v>0.75733451644368766</v>
      </c>
      <c r="O58">
        <v>1.375846715615052</v>
      </c>
      <c r="Q58">
        <v>-0.72001082282949347</v>
      </c>
    </row>
  </sheetData>
  <conditionalFormatting sqref="M2:P2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L29">
    <cfRule type="colorScale" priority="1">
      <colorScale>
        <cfvo type="min"/>
        <cfvo type="num" val="1"/>
        <cfvo type="max"/>
        <color rgb="FFF8696B"/>
        <color theme="0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HEK</vt:lpstr>
      <vt:lpstr>K562</vt:lpstr>
      <vt:lpstr>K562 SE</vt:lpstr>
      <vt:lpstr>K562 SE-</vt:lpstr>
      <vt:lpstr>A549</vt:lpstr>
      <vt:lpstr>HEK старый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</dc:creator>
  <cp:lastModifiedBy>User</cp:lastModifiedBy>
  <dcterms:created xsi:type="dcterms:W3CDTF">2015-06-05T18:19:34Z</dcterms:created>
  <dcterms:modified xsi:type="dcterms:W3CDTF">2023-05-29T12:14:00Z</dcterms:modified>
</cp:coreProperties>
</file>