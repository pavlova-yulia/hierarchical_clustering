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ython_projects\hierarchical_clustering_genes\data\cur1\"/>
    </mc:Choice>
  </mc:AlternateContent>
  <bookViews>
    <workbookView xWindow="-120" yWindow="-120" windowWidth="20736" windowHeight="11040" firstSheet="6" activeTab="8"/>
  </bookViews>
  <sheets>
    <sheet name="Критерии + рез по группам" sheetId="1" r:id="rId1"/>
    <sheet name="regulation матр корр + белки" sheetId="9" r:id="rId2"/>
    <sheet name="RNE матр корр + белки" sheetId="10" r:id="rId3"/>
    <sheet name="RNE матрица корреляций" sheetId="5" r:id="rId4"/>
    <sheet name="Regulation матрица корреляций" sheetId="7" r:id="rId5"/>
    <sheet name="Кураксин" sheetId="11" r:id="rId6"/>
    <sheet name="Матрица regulation кураксин" sheetId="15" r:id="rId7"/>
    <sheet name="Матрица RNE кураксин" sheetId="14" r:id="rId8"/>
    <sheet name="общий" sheetId="16" r:id="rId9"/>
    <sheet name="final" sheetId="17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3" i="16" l="1"/>
  <c r="AL4" i="16"/>
  <c r="AL5" i="16"/>
  <c r="AL6" i="16"/>
  <c r="AL7" i="16"/>
  <c r="AL8" i="16"/>
  <c r="AL9" i="16"/>
  <c r="AL10" i="16"/>
  <c r="AL11" i="16"/>
  <c r="AL12" i="16"/>
  <c r="AL13" i="16"/>
  <c r="AL14" i="16"/>
  <c r="AL15" i="16"/>
  <c r="AL16" i="16"/>
  <c r="AL17" i="16"/>
  <c r="AL18" i="16"/>
  <c r="AL19" i="16"/>
  <c r="AL20" i="16"/>
  <c r="AL2" i="16"/>
  <c r="AK3" i="16"/>
  <c r="AK4" i="16"/>
  <c r="AK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" i="16"/>
  <c r="AJ3" i="16"/>
  <c r="AJ4" i="16"/>
  <c r="AJ5" i="16"/>
  <c r="AJ6" i="16"/>
  <c r="AJ7" i="16"/>
  <c r="AJ8" i="16"/>
  <c r="AJ9" i="16"/>
  <c r="AJ10" i="16"/>
  <c r="AJ11" i="16"/>
  <c r="AJ12" i="16"/>
  <c r="AJ13" i="16"/>
  <c r="AJ14" i="16"/>
  <c r="AJ15" i="16"/>
  <c r="AJ16" i="16"/>
  <c r="AJ17" i="16"/>
  <c r="AJ18" i="16"/>
  <c r="AJ19" i="16"/>
  <c r="AJ20" i="16"/>
  <c r="AJ2" i="16"/>
  <c r="AI3" i="16"/>
  <c r="AI4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" i="16"/>
  <c r="Z20" i="16" l="1"/>
  <c r="Y20" i="16"/>
  <c r="W20" i="16"/>
  <c r="V20" i="16"/>
  <c r="Z19" i="16"/>
  <c r="Y19" i="16"/>
  <c r="X19" i="16"/>
  <c r="W19" i="16"/>
  <c r="V19" i="16"/>
  <c r="Z18" i="16"/>
  <c r="X18" i="16"/>
  <c r="V18" i="16"/>
  <c r="Z17" i="16"/>
  <c r="X17" i="16"/>
  <c r="W17" i="16"/>
  <c r="V17" i="16"/>
  <c r="U17" i="16"/>
  <c r="Z16" i="16"/>
  <c r="Y16" i="16"/>
  <c r="W16" i="16"/>
  <c r="V16" i="16"/>
  <c r="U16" i="16"/>
  <c r="Z15" i="16"/>
  <c r="W15" i="16"/>
  <c r="V15" i="16"/>
  <c r="X14" i="16"/>
  <c r="V14" i="16"/>
  <c r="U14" i="16"/>
  <c r="Z13" i="16"/>
  <c r="X13" i="16"/>
  <c r="V13" i="16"/>
  <c r="U13" i="16"/>
  <c r="Z12" i="16"/>
  <c r="Y12" i="16"/>
  <c r="X12" i="16"/>
  <c r="V12" i="16"/>
  <c r="Z11" i="16"/>
  <c r="Y11" i="16"/>
  <c r="V11" i="16"/>
  <c r="U11" i="16"/>
  <c r="Z10" i="16"/>
  <c r="Y10" i="16"/>
  <c r="X10" i="16"/>
  <c r="W10" i="16"/>
  <c r="V10" i="16"/>
  <c r="U10" i="16"/>
  <c r="Y9" i="16"/>
  <c r="V9" i="16"/>
  <c r="U9" i="16"/>
  <c r="X8" i="16"/>
  <c r="W8" i="16"/>
  <c r="V8" i="16"/>
  <c r="Z7" i="16"/>
  <c r="Y7" i="16"/>
  <c r="W7" i="16"/>
  <c r="V7" i="16"/>
  <c r="U7" i="16"/>
  <c r="Z6" i="16"/>
  <c r="W6" i="16"/>
  <c r="V6" i="16"/>
  <c r="Z5" i="16"/>
  <c r="Y5" i="16"/>
  <c r="X5" i="16"/>
  <c r="V5" i="16"/>
  <c r="U5" i="16"/>
  <c r="Z4" i="16"/>
  <c r="Y4" i="16"/>
  <c r="W4" i="16"/>
  <c r="V4" i="16"/>
  <c r="Z3" i="16"/>
  <c r="Y3" i="16"/>
  <c r="X3" i="16"/>
  <c r="W3" i="16"/>
  <c r="V3" i="16"/>
  <c r="Z2" i="16"/>
  <c r="X2" i="16"/>
  <c r="V2" i="16"/>
  <c r="U2" i="16"/>
  <c r="Z20" i="11" l="1"/>
  <c r="Y20" i="11"/>
  <c r="W20" i="11"/>
  <c r="V20" i="11"/>
  <c r="Z19" i="11"/>
  <c r="Y19" i="11"/>
  <c r="X19" i="11"/>
  <c r="W19" i="11"/>
  <c r="V19" i="11"/>
  <c r="Z18" i="11"/>
  <c r="X18" i="11"/>
  <c r="V18" i="11"/>
  <c r="Z17" i="11"/>
  <c r="X17" i="11"/>
  <c r="W17" i="11"/>
  <c r="V17" i="11"/>
  <c r="U17" i="11"/>
  <c r="Z16" i="11"/>
  <c r="Y16" i="11"/>
  <c r="W16" i="11"/>
  <c r="V16" i="11"/>
  <c r="U16" i="11"/>
  <c r="Z15" i="11"/>
  <c r="W15" i="11"/>
  <c r="V15" i="11"/>
  <c r="X14" i="11"/>
  <c r="V14" i="11"/>
  <c r="U14" i="11"/>
  <c r="Z13" i="11"/>
  <c r="X13" i="11"/>
  <c r="V13" i="11"/>
  <c r="U13" i="11"/>
  <c r="Z12" i="11"/>
  <c r="Y12" i="11"/>
  <c r="X12" i="11"/>
  <c r="V12" i="11"/>
  <c r="Z11" i="11"/>
  <c r="Y11" i="11"/>
  <c r="V11" i="11"/>
  <c r="U11" i="11"/>
  <c r="Z10" i="11"/>
  <c r="Y10" i="11"/>
  <c r="X10" i="11"/>
  <c r="W10" i="11"/>
  <c r="V10" i="11"/>
  <c r="U10" i="11"/>
  <c r="Y9" i="11"/>
  <c r="V9" i="11"/>
  <c r="U9" i="11"/>
  <c r="X8" i="11"/>
  <c r="W8" i="11"/>
  <c r="V8" i="11"/>
  <c r="Z7" i="11"/>
  <c r="Y7" i="11"/>
  <c r="W7" i="11"/>
  <c r="V7" i="11"/>
  <c r="U7" i="11"/>
  <c r="Z6" i="11"/>
  <c r="W6" i="11"/>
  <c r="V6" i="11"/>
  <c r="Z5" i="11"/>
  <c r="Y5" i="11"/>
  <c r="X5" i="11"/>
  <c r="V5" i="11"/>
  <c r="U5" i="11"/>
  <c r="Z4" i="11"/>
  <c r="Y4" i="11"/>
  <c r="W4" i="11"/>
  <c r="V4" i="11"/>
  <c r="Z3" i="11"/>
  <c r="Y3" i="11"/>
  <c r="X3" i="11"/>
  <c r="W3" i="11"/>
  <c r="V3" i="11"/>
  <c r="Z2" i="11"/>
  <c r="X2" i="11"/>
  <c r="V2" i="11"/>
  <c r="U2" i="11"/>
  <c r="AK4" i="1" l="1"/>
  <c r="AL4" i="1"/>
  <c r="AM4" i="1"/>
  <c r="AN4" i="1"/>
  <c r="AO4" i="1"/>
  <c r="AP4" i="1"/>
  <c r="AQ4" i="1"/>
  <c r="AR4" i="1"/>
  <c r="AS4" i="1"/>
  <c r="AT4" i="1"/>
  <c r="AU4" i="1"/>
  <c r="AV4" i="1"/>
  <c r="AN5" i="1"/>
  <c r="AK5" i="1"/>
  <c r="AL5" i="1"/>
  <c r="AM5" i="1"/>
  <c r="AO5" i="1"/>
  <c r="AP5" i="1"/>
  <c r="AQ5" i="1"/>
  <c r="AR5" i="1"/>
  <c r="AS5" i="1"/>
  <c r="AT5" i="1"/>
  <c r="AU5" i="1"/>
  <c r="AV5" i="1"/>
  <c r="AX5" i="1"/>
  <c r="AY5" i="1"/>
  <c r="AZ5" i="1"/>
  <c r="BA5" i="1"/>
  <c r="BB5" i="1"/>
  <c r="BC5" i="1"/>
  <c r="BD5" i="1"/>
  <c r="BE5" i="1"/>
  <c r="BF5" i="1"/>
  <c r="BG5" i="1"/>
  <c r="BH5" i="1"/>
  <c r="AX4" i="1"/>
  <c r="AY4" i="1"/>
  <c r="AZ4" i="1"/>
  <c r="BA4" i="1"/>
  <c r="BB4" i="1"/>
  <c r="BC4" i="1"/>
  <c r="BD4" i="1"/>
  <c r="BE4" i="1"/>
  <c r="BF4" i="1"/>
  <c r="BG4" i="1"/>
  <c r="BH4" i="1"/>
  <c r="AW5" i="1"/>
  <c r="AW4" i="1"/>
  <c r="BH3" i="1"/>
  <c r="BH2" i="1"/>
  <c r="AV2" i="1"/>
  <c r="AK3" i="1"/>
  <c r="AV3" i="1"/>
  <c r="AW3" i="1"/>
  <c r="AX3" i="1"/>
  <c r="AY3" i="1"/>
  <c r="AZ3" i="1"/>
  <c r="BA3" i="1"/>
  <c r="BB3" i="1"/>
  <c r="BC3" i="1"/>
  <c r="BD3" i="1"/>
  <c r="BE3" i="1"/>
  <c r="BF3" i="1"/>
  <c r="BG3" i="1"/>
  <c r="AU3" i="1"/>
  <c r="AW2" i="1"/>
  <c r="AX2" i="1"/>
  <c r="AY2" i="1"/>
  <c r="AZ2" i="1"/>
  <c r="BA2" i="1"/>
  <c r="BB2" i="1"/>
  <c r="BC2" i="1"/>
  <c r="BD2" i="1"/>
  <c r="BE2" i="1"/>
  <c r="BF2" i="1"/>
  <c r="BG2" i="1"/>
  <c r="V3" i="1"/>
  <c r="X3" i="1"/>
  <c r="Z3" i="1"/>
  <c r="Y3" i="1"/>
  <c r="W3" i="1"/>
  <c r="X10" i="1"/>
  <c r="V10" i="1"/>
  <c r="W10" i="1"/>
  <c r="Y10" i="1"/>
  <c r="Z10" i="1"/>
  <c r="U10" i="1"/>
  <c r="Z12" i="1"/>
  <c r="V11" i="1"/>
  <c r="Y11" i="1"/>
  <c r="Z11" i="1"/>
  <c r="U11" i="1"/>
  <c r="X12" i="1"/>
  <c r="V12" i="1"/>
  <c r="Y12" i="1"/>
  <c r="V9" i="1"/>
  <c r="U9" i="1"/>
  <c r="Y9" i="1"/>
  <c r="V7" i="1"/>
  <c r="U7" i="1"/>
  <c r="W7" i="1"/>
  <c r="Z7" i="1"/>
  <c r="Y7" i="1"/>
  <c r="V8" i="1"/>
  <c r="W8" i="1"/>
  <c r="X8" i="1"/>
  <c r="V6" i="1"/>
  <c r="Z6" i="1"/>
  <c r="W6" i="1"/>
  <c r="X5" i="1"/>
  <c r="V5" i="1"/>
  <c r="V4" i="1"/>
  <c r="Y5" i="1"/>
  <c r="Z5" i="1"/>
  <c r="U5" i="1"/>
  <c r="V14" i="1"/>
  <c r="V13" i="1"/>
  <c r="U13" i="1"/>
  <c r="X13" i="1"/>
  <c r="Z13" i="1"/>
  <c r="U14" i="1"/>
  <c r="X14" i="1"/>
  <c r="V15" i="1"/>
  <c r="W15" i="1"/>
  <c r="Z15" i="1"/>
  <c r="Z17" i="1"/>
  <c r="Z16" i="1"/>
  <c r="W16" i="1"/>
  <c r="V16" i="1"/>
  <c r="U16" i="1"/>
  <c r="Y16" i="1"/>
  <c r="V18" i="1"/>
  <c r="V17" i="1"/>
  <c r="X19" i="1"/>
  <c r="X18" i="1"/>
  <c r="X17" i="1"/>
  <c r="W17" i="1"/>
  <c r="U17" i="1"/>
  <c r="Z18" i="1"/>
  <c r="V20" i="1"/>
  <c r="V19" i="1"/>
  <c r="W19" i="1"/>
  <c r="Z19" i="1"/>
  <c r="Y19" i="1"/>
  <c r="W20" i="1"/>
  <c r="Z20" i="1"/>
  <c r="Y20" i="1"/>
  <c r="W4" i="1"/>
  <c r="Z4" i="1"/>
  <c r="Y4" i="1"/>
  <c r="X2" i="1"/>
  <c r="V2" i="1"/>
  <c r="Z2" i="1"/>
  <c r="U2" i="1"/>
  <c r="AL3" i="1" l="1"/>
  <c r="AM3" i="1"/>
  <c r="AN3" i="1"/>
  <c r="AO3" i="1"/>
  <c r="AP3" i="1"/>
  <c r="AQ3" i="1"/>
  <c r="AR3" i="1"/>
  <c r="AS3" i="1"/>
  <c r="AT3" i="1"/>
  <c r="AL2" i="1"/>
  <c r="AM2" i="1"/>
  <c r="AN2" i="1"/>
  <c r="AO2" i="1"/>
  <c r="AP2" i="1"/>
  <c r="AQ2" i="1"/>
  <c r="AR2" i="1"/>
  <c r="AS2" i="1"/>
  <c r="AT2" i="1"/>
  <c r="AU2" i="1"/>
  <c r="AK2" i="1"/>
</calcChain>
</file>

<file path=xl/sharedStrings.xml><?xml version="1.0" encoding="utf-8"?>
<sst xmlns="http://schemas.openxmlformats.org/spreadsheetml/2006/main" count="537" uniqueCount="94">
  <si>
    <t>IFI6</t>
  </si>
  <si>
    <t>DOTL1</t>
  </si>
  <si>
    <t>WASF2</t>
  </si>
  <si>
    <t>MKNK2</t>
  </si>
  <si>
    <t>RTN2</t>
  </si>
  <si>
    <t>POLR1G</t>
  </si>
  <si>
    <t>ERCC1</t>
  </si>
  <si>
    <t>ERCC2</t>
  </si>
  <si>
    <t>CSNK1G2</t>
  </si>
  <si>
    <t>PLK3</t>
  </si>
  <si>
    <t>ELL</t>
  </si>
  <si>
    <t>CRTC1</t>
  </si>
  <si>
    <t>MAST3</t>
  </si>
  <si>
    <t>RAPGE</t>
  </si>
  <si>
    <t>NR1D1</t>
  </si>
  <si>
    <t>SAE1</t>
  </si>
  <si>
    <t>BBC3</t>
  </si>
  <si>
    <t>TOE1</t>
  </si>
  <si>
    <t>UROD</t>
  </si>
  <si>
    <t>Target</t>
  </si>
  <si>
    <t>Sample</t>
  </si>
  <si>
    <t>Mean Cq</t>
  </si>
  <si>
    <t>Mean Efficiency Corrected Cq</t>
  </si>
  <si>
    <t>Normalized Expression</t>
  </si>
  <si>
    <t>Relative Normalized Expression</t>
  </si>
  <si>
    <t>Expression SEM</t>
  </si>
  <si>
    <t>Regulation</t>
  </si>
  <si>
    <t>N of motifs</t>
  </si>
  <si>
    <t>N of all G4-seqs</t>
  </si>
  <si>
    <t>N of ref G4-seqs</t>
  </si>
  <si>
    <t>Max score of G4-seqs</t>
  </si>
  <si>
    <t>Max score of ref G4 seqs</t>
  </si>
  <si>
    <t>N of BG4</t>
  </si>
  <si>
    <t>Max score of BG4</t>
  </si>
  <si>
    <t>ENH: N of all G4-seqs</t>
  </si>
  <si>
    <t>ENH: N of BG4</t>
  </si>
  <si>
    <t>ENH: freq of all G4-seqs</t>
  </si>
  <si>
    <t>ENH:freq of BG4</t>
  </si>
  <si>
    <t>K562. PDS. 20uM. 48h</t>
  </si>
  <si>
    <t>ENH: rank</t>
  </si>
  <si>
    <t>ответил</t>
  </si>
  <si>
    <t>не ответил</t>
  </si>
  <si>
    <t>погрешность "ответил"</t>
  </si>
  <si>
    <t>погрешность "не ответил"</t>
  </si>
  <si>
    <t>DOT1L</t>
  </si>
  <si>
    <t>score YY1</t>
  </si>
  <si>
    <t>score pol2</t>
  </si>
  <si>
    <t>score c-myc</t>
  </si>
  <si>
    <t>score CTCF</t>
  </si>
  <si>
    <t>score SP1</t>
  </si>
  <si>
    <t>score MAZ</t>
  </si>
  <si>
    <t>N of YY1</t>
  </si>
  <si>
    <t>N of  pol2</t>
  </si>
  <si>
    <t>N of  CTCF</t>
  </si>
  <si>
    <t>N of SP1</t>
  </si>
  <si>
    <t>N of MAZ</t>
  </si>
  <si>
    <t>N of c-myc</t>
  </si>
  <si>
    <t>группа/критерий</t>
  </si>
  <si>
    <t>RAPGEFL1</t>
  </si>
  <si>
    <t>Max score of rel G4 seqs</t>
  </si>
  <si>
    <t>N of rel G4-seqs</t>
  </si>
  <si>
    <t>K562. Curaxin. 2uM. 24h</t>
  </si>
  <si>
    <t xml:space="preserve"> YY1 score</t>
  </si>
  <si>
    <t>Pol2 score</t>
  </si>
  <si>
    <t>c-MYC score</t>
  </si>
  <si>
    <t>CTCF score</t>
  </si>
  <si>
    <t>SP1 score</t>
  </si>
  <si>
    <t>MAZ score</t>
  </si>
  <si>
    <t>YY1 number</t>
  </si>
  <si>
    <t>Pol2 number</t>
  </si>
  <si>
    <t>c-MYC number</t>
  </si>
  <si>
    <t xml:space="preserve"> CTCF number</t>
  </si>
  <si>
    <t>SP1 number</t>
  </si>
  <si>
    <t>MAZ number</t>
  </si>
  <si>
    <t>Motifs number</t>
  </si>
  <si>
    <t>G4-seq number</t>
  </si>
  <si>
    <t>Relevant G4-seq number</t>
  </si>
  <si>
    <t>BG4 number</t>
  </si>
  <si>
    <t>BG4 score</t>
  </si>
  <si>
    <t>G4-seq score</t>
  </si>
  <si>
    <t>Relevant G4-seq score</t>
  </si>
  <si>
    <t>ENH: G4-seq number</t>
  </si>
  <si>
    <t>ENH: BG4 number</t>
  </si>
  <si>
    <t>ENH: freq of BG4</t>
  </si>
  <si>
    <t>CTCF number</t>
  </si>
  <si>
    <t>YY1 score</t>
  </si>
  <si>
    <t>PDS Regulation</t>
  </si>
  <si>
    <t>Curaxin Regulation</t>
  </si>
  <si>
    <t>PDS RNE</t>
  </si>
  <si>
    <t>Curaxin RNE</t>
  </si>
  <si>
    <t>Fold change PDS</t>
  </si>
  <si>
    <t>Fold change curaxin</t>
  </si>
  <si>
    <t>Fold 10 change PDS</t>
  </si>
  <si>
    <t>Fold 10 change curaxin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</si>
</sst>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5"/>
      <name val="Arial"/>
      <family val="2"/>
      <charset val="204"/>
    </font>
    <font>
      <b/>
      <sz val="11"/>
      <color theme="5"/>
      <name val="Calibri"/>
      <family val="2"/>
      <charset val="204"/>
      <scheme val="minor"/>
    </font>
    <font>
      <sz val="10"/>
      <color theme="2" tint="-0.499984740745262"/>
      <name val="Arial"/>
      <family val="2"/>
      <charset val="204"/>
    </font>
    <font>
      <sz val="11"/>
      <color theme="2" tint="-0.499984740745262"/>
      <name val="Calibri"/>
      <family val="2"/>
      <scheme val="minor"/>
    </font>
    <font>
      <b/>
      <sz val="10"/>
      <color theme="2" tint="-0.499984740745262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5"/>
      <name val="Arial"/>
      <family val="2"/>
      <charset val="204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8"/>
      <name val="Arial"/>
      <family val="2"/>
      <charset val="204"/>
    </font>
    <font>
      <sz val="11"/>
      <color theme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4" fillId="0" borderId="0" xfId="0" applyFont="1" applyFill="1"/>
    <xf numFmtId="0" fontId="5" fillId="0" borderId="6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0" xfId="0" applyFont="1"/>
    <xf numFmtId="0" fontId="5" fillId="3" borderId="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10" fillId="0" borderId="0" xfId="0" applyFont="1"/>
    <xf numFmtId="0" fontId="9" fillId="3" borderId="3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12" fillId="0" borderId="7" xfId="0" applyFont="1" applyFill="1" applyBorder="1" applyAlignment="1">
      <alignment horizontal="center" wrapText="1"/>
    </xf>
    <xf numFmtId="0" fontId="13" fillId="0" borderId="0" xfId="0" applyFont="1"/>
    <xf numFmtId="1" fontId="13" fillId="0" borderId="0" xfId="0" applyNumberFormat="1" applyFont="1"/>
    <xf numFmtId="164" fontId="13" fillId="0" borderId="0" xfId="0" applyNumberFormat="1" applyFont="1"/>
    <xf numFmtId="2" fontId="13" fillId="0" borderId="0" xfId="0" applyNumberFormat="1" applyFont="1"/>
    <xf numFmtId="0" fontId="0" fillId="0" borderId="0" xfId="0" applyFill="1" applyBorder="1" applyAlignment="1"/>
    <xf numFmtId="0" fontId="0" fillId="0" borderId="8" xfId="0" applyFill="1" applyBorder="1" applyAlignment="1"/>
    <xf numFmtId="0" fontId="14" fillId="0" borderId="9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2" fontId="0" fillId="0" borderId="0" xfId="0" applyNumberFormat="1"/>
    <xf numFmtId="2" fontId="4" fillId="0" borderId="0" xfId="0" applyNumberFormat="1" applyFont="1" applyFill="1"/>
    <xf numFmtId="2" fontId="2" fillId="2" borderId="3" xfId="0" applyNumberFormat="1" applyFont="1" applyFill="1" applyBorder="1" applyAlignment="1">
      <alignment horizontal="center" wrapText="1"/>
    </xf>
    <xf numFmtId="2" fontId="0" fillId="4" borderId="0" xfId="0" applyNumberFormat="1" applyFill="1"/>
    <xf numFmtId="2" fontId="4" fillId="4" borderId="0" xfId="0" applyNumberFormat="1" applyFont="1" applyFill="1"/>
    <xf numFmtId="2" fontId="4" fillId="0" borderId="0" xfId="0" applyNumberFormat="1" applyFont="1" applyFill="1" applyBorder="1"/>
    <xf numFmtId="2" fontId="2" fillId="2" borderId="4" xfId="0" applyNumberFormat="1" applyFont="1" applyFill="1" applyBorder="1" applyAlignment="1">
      <alignment horizontal="center" wrapText="1"/>
    </xf>
    <xf numFmtId="2" fontId="4" fillId="4" borderId="0" xfId="0" applyNumberFormat="1" applyFont="1" applyFill="1" applyBorder="1"/>
    <xf numFmtId="2" fontId="1" fillId="0" borderId="4" xfId="0" applyNumberFormat="1" applyFont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15" fillId="0" borderId="7" xfId="0" applyFont="1" applyFill="1" applyBorder="1" applyAlignment="1">
      <alignment horizontal="center" wrapText="1"/>
    </xf>
    <xf numFmtId="0" fontId="16" fillId="0" borderId="0" xfId="0" applyFont="1"/>
    <xf numFmtId="1" fontId="16" fillId="0" borderId="0" xfId="0" applyNumberFormat="1" applyFont="1"/>
    <xf numFmtId="0" fontId="9" fillId="0" borderId="7" xfId="0" applyFont="1" applyFill="1" applyBorder="1" applyAlignment="1">
      <alignment horizontal="center" wrapText="1"/>
    </xf>
    <xf numFmtId="0" fontId="0" fillId="0" borderId="0" xfId="0" applyNumberForma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2" fontId="0" fillId="0" borderId="0" xfId="0" applyNumberFormat="1" applyFill="1"/>
    <xf numFmtId="1" fontId="16" fillId="0" borderId="0" xfId="0" applyNumberFormat="1" applyFont="1" applyFill="1"/>
    <xf numFmtId="0" fontId="10" fillId="0" borderId="0" xfId="0" applyFont="1" applyFill="1"/>
    <xf numFmtId="0" fontId="16" fillId="0" borderId="0" xfId="0" applyFont="1" applyFill="1"/>
    <xf numFmtId="0" fontId="0" fillId="0" borderId="0" xfId="0" applyFill="1"/>
    <xf numFmtId="0" fontId="1" fillId="6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2"/>
  <sheetViews>
    <sheetView zoomScale="70" zoomScaleNormal="70" workbookViewId="0">
      <selection activeCell="F1" sqref="F1:H1048576"/>
    </sheetView>
  </sheetViews>
  <sheetFormatPr defaultRowHeight="14.4" x14ac:dyDescent="0.3"/>
  <cols>
    <col min="1" max="1" width="9.109375" style="29"/>
    <col min="2" max="3" width="9.109375" style="16"/>
    <col min="4" max="4" width="10.6640625" style="16" customWidth="1"/>
    <col min="5" max="5" width="11.5546875" style="16" customWidth="1"/>
    <col min="6" max="6" width="12.33203125" customWidth="1"/>
    <col min="7" max="7" width="11.33203125" style="16" customWidth="1"/>
    <col min="8" max="8" width="11" customWidth="1"/>
    <col min="16" max="19" width="9.109375" style="10"/>
    <col min="21" max="21" width="8.109375" style="53" customWidth="1"/>
    <col min="22" max="22" width="10.33203125" style="53" customWidth="1"/>
    <col min="23" max="23" width="8.33203125" style="53" customWidth="1"/>
    <col min="24" max="30" width="9.109375" style="53"/>
    <col min="31" max="31" width="9.44140625" style="53" customWidth="1"/>
    <col min="32" max="32" width="9.109375" style="53"/>
    <col min="33" max="33" width="10.6640625" style="29" customWidth="1"/>
    <col min="36" max="36" width="31.33203125" customWidth="1"/>
  </cols>
  <sheetData>
    <row r="1" spans="1:61" ht="87.6" thickBot="1" x14ac:dyDescent="0.35">
      <c r="A1" s="2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7" t="s">
        <v>24</v>
      </c>
      <c r="G1" s="11" t="s">
        <v>25</v>
      </c>
      <c r="H1" s="7" t="s">
        <v>26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9" t="s">
        <v>81</v>
      </c>
      <c r="Q1" s="9" t="s">
        <v>82</v>
      </c>
      <c r="R1" s="9" t="s">
        <v>36</v>
      </c>
      <c r="S1" s="9" t="s">
        <v>83</v>
      </c>
      <c r="T1" s="9" t="s">
        <v>39</v>
      </c>
      <c r="U1" s="52" t="s">
        <v>85</v>
      </c>
      <c r="V1" s="52" t="s">
        <v>63</v>
      </c>
      <c r="W1" s="52" t="s">
        <v>64</v>
      </c>
      <c r="X1" s="52" t="s">
        <v>65</v>
      </c>
      <c r="Y1" s="52" t="s">
        <v>66</v>
      </c>
      <c r="Z1" s="52" t="s">
        <v>67</v>
      </c>
      <c r="AA1" s="55" t="s">
        <v>68</v>
      </c>
      <c r="AB1" s="55" t="s">
        <v>69</v>
      </c>
      <c r="AC1" s="55" t="s">
        <v>70</v>
      </c>
      <c r="AD1" s="55" t="s">
        <v>84</v>
      </c>
      <c r="AE1" s="55" t="s">
        <v>72</v>
      </c>
      <c r="AF1" s="55" t="s">
        <v>73</v>
      </c>
      <c r="AG1" s="21" t="s">
        <v>19</v>
      </c>
      <c r="AJ1" t="s">
        <v>57</v>
      </c>
      <c r="AK1" s="31" t="s">
        <v>27</v>
      </c>
      <c r="AL1" s="31" t="s">
        <v>28</v>
      </c>
      <c r="AM1" s="31" t="s">
        <v>60</v>
      </c>
      <c r="AN1" s="31" t="s">
        <v>32</v>
      </c>
      <c r="AO1" s="31" t="s">
        <v>33</v>
      </c>
      <c r="AP1" s="31" t="s">
        <v>30</v>
      </c>
      <c r="AQ1" s="31" t="s">
        <v>59</v>
      </c>
      <c r="AR1" s="32" t="s">
        <v>34</v>
      </c>
      <c r="AS1" s="32" t="s">
        <v>35</v>
      </c>
      <c r="AT1" s="32" t="s">
        <v>36</v>
      </c>
      <c r="AU1" s="32" t="s">
        <v>37</v>
      </c>
      <c r="AV1" s="9" t="s">
        <v>39</v>
      </c>
      <c r="AW1" s="52" t="s">
        <v>45</v>
      </c>
      <c r="AX1" s="52" t="s">
        <v>46</v>
      </c>
      <c r="AY1" s="52" t="s">
        <v>47</v>
      </c>
      <c r="AZ1" s="52" t="s">
        <v>48</v>
      </c>
      <c r="BA1" s="52" t="s">
        <v>49</v>
      </c>
      <c r="BB1" s="52" t="s">
        <v>50</v>
      </c>
      <c r="BC1" s="55" t="s">
        <v>51</v>
      </c>
      <c r="BD1" s="55" t="s">
        <v>52</v>
      </c>
      <c r="BE1" s="55" t="s">
        <v>56</v>
      </c>
      <c r="BF1" s="55" t="s">
        <v>53</v>
      </c>
      <c r="BG1" s="55" t="s">
        <v>54</v>
      </c>
      <c r="BH1" s="55" t="s">
        <v>55</v>
      </c>
    </row>
    <row r="2" spans="1:61" ht="54.6" thickBot="1" x14ac:dyDescent="0.4">
      <c r="A2" s="22" t="s">
        <v>0</v>
      </c>
      <c r="B2" s="12" t="s">
        <v>38</v>
      </c>
      <c r="C2" s="12">
        <v>31.5</v>
      </c>
      <c r="D2" s="12">
        <v>31.5</v>
      </c>
      <c r="E2" s="12">
        <v>8.0000000000000007E-5</v>
      </c>
      <c r="F2" s="1">
        <v>0.39973999999999998</v>
      </c>
      <c r="G2" s="12">
        <v>9.826E-2</v>
      </c>
      <c r="H2" s="41">
        <v>-2.5016600000000002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3">
        <v>57</v>
      </c>
      <c r="Q2" s="43">
        <v>3</v>
      </c>
      <c r="R2" s="43">
        <v>0.82</v>
      </c>
      <c r="S2" s="43">
        <v>0.04</v>
      </c>
      <c r="T2" s="43">
        <v>56</v>
      </c>
      <c r="U2" s="54">
        <f>(243+518)/2</f>
        <v>380.5</v>
      </c>
      <c r="V2" s="54">
        <f>(2657+179+219)/7</f>
        <v>436.42857142857144</v>
      </c>
      <c r="W2" s="54">
        <v>0</v>
      </c>
      <c r="X2" s="54">
        <f>(463+288+337+238+390+446)/6</f>
        <v>360.33333333333331</v>
      </c>
      <c r="Y2" s="54">
        <v>0</v>
      </c>
      <c r="Z2" s="54">
        <f>1254/2</f>
        <v>627</v>
      </c>
      <c r="AA2" s="29">
        <v>1</v>
      </c>
      <c r="AB2" s="29">
        <v>0</v>
      </c>
      <c r="AC2" s="29">
        <v>1</v>
      </c>
      <c r="AD2" s="29">
        <v>1</v>
      </c>
      <c r="AE2" s="29">
        <v>0</v>
      </c>
      <c r="AF2" s="29">
        <v>1</v>
      </c>
      <c r="AG2" s="22" t="s">
        <v>0</v>
      </c>
      <c r="AJ2" s="33" t="s">
        <v>40</v>
      </c>
      <c r="AK2" s="34">
        <f t="shared" ref="AK2:AV2" si="0">(I3+I7+I9+I12+I16+I19+I20)/7</f>
        <v>6.2857142857142856</v>
      </c>
      <c r="AL2" s="34">
        <f t="shared" si="0"/>
        <v>2.5714285714285716</v>
      </c>
      <c r="AM2" s="36">
        <f t="shared" si="0"/>
        <v>1.4285714285714286</v>
      </c>
      <c r="AN2" s="36">
        <f t="shared" si="0"/>
        <v>1.2857142857142858</v>
      </c>
      <c r="AO2" s="34">
        <f t="shared" si="0"/>
        <v>171.1142857142857</v>
      </c>
      <c r="AP2" s="34">
        <f t="shared" si="0"/>
        <v>47.614285714285714</v>
      </c>
      <c r="AQ2" s="34">
        <f t="shared" si="0"/>
        <v>35.1</v>
      </c>
      <c r="AR2" s="34">
        <f t="shared" si="0"/>
        <v>27.428571428571427</v>
      </c>
      <c r="AS2" s="34">
        <f t="shared" si="0"/>
        <v>5.7142857142857144</v>
      </c>
      <c r="AT2" s="36">
        <f t="shared" si="0"/>
        <v>0.69428571428571428</v>
      </c>
      <c r="AU2" s="36">
        <f t="shared" si="0"/>
        <v>0.27999999999999997</v>
      </c>
      <c r="AV2" s="34">
        <f t="shared" si="0"/>
        <v>199.71428571428572</v>
      </c>
      <c r="AW2" s="34">
        <f t="shared" ref="AW2:BH2" si="1">(U3+U7+U9+U12+U16+U19+U20)/7</f>
        <v>788.5</v>
      </c>
      <c r="AX2" s="34">
        <f t="shared" si="1"/>
        <v>549.63265306122435</v>
      </c>
      <c r="AY2" s="34">
        <f t="shared" si="1"/>
        <v>451.57142857142856</v>
      </c>
      <c r="AZ2" s="34">
        <f t="shared" si="1"/>
        <v>183.52380952380955</v>
      </c>
      <c r="BA2" s="34">
        <f t="shared" si="1"/>
        <v>390.5</v>
      </c>
      <c r="BB2" s="34">
        <f t="shared" si="1"/>
        <v>704.85714285714289</v>
      </c>
      <c r="BC2" s="35">
        <f t="shared" si="1"/>
        <v>1.7142857142857142</v>
      </c>
      <c r="BD2" s="35">
        <f t="shared" si="1"/>
        <v>1.5714285714285714</v>
      </c>
      <c r="BE2" s="35">
        <f t="shared" si="1"/>
        <v>1.5714285714285714</v>
      </c>
      <c r="BF2" s="35">
        <f t="shared" si="1"/>
        <v>0.42857142857142855</v>
      </c>
      <c r="BG2" s="35">
        <f t="shared" si="1"/>
        <v>0.8571428571428571</v>
      </c>
      <c r="BH2" s="35">
        <f t="shared" si="1"/>
        <v>2.1428571428571428</v>
      </c>
    </row>
    <row r="3" spans="1:61" ht="54.6" thickBot="1" x14ac:dyDescent="0.4">
      <c r="A3" s="23" t="s">
        <v>1</v>
      </c>
      <c r="B3" s="18" t="s">
        <v>38</v>
      </c>
      <c r="C3" s="13">
        <v>26.9</v>
      </c>
      <c r="D3" s="13">
        <v>26.9</v>
      </c>
      <c r="E3" s="13">
        <v>1.9400000000000001E-3</v>
      </c>
      <c r="F3" s="4">
        <v>8.4629999999999997E-2</v>
      </c>
      <c r="G3" s="13">
        <v>2.4399999999999999E-3</v>
      </c>
      <c r="H3" s="44">
        <v>-11.81682</v>
      </c>
      <c r="I3" s="45">
        <v>12</v>
      </c>
      <c r="J3" s="45">
        <v>6</v>
      </c>
      <c r="K3" s="45">
        <v>3</v>
      </c>
      <c r="L3" s="45">
        <v>1</v>
      </c>
      <c r="M3" s="45">
        <v>173.8</v>
      </c>
      <c r="N3" s="45">
        <v>54</v>
      </c>
      <c r="O3" s="45">
        <v>54</v>
      </c>
      <c r="P3" s="46">
        <v>32</v>
      </c>
      <c r="Q3" s="46">
        <v>7</v>
      </c>
      <c r="R3" s="46">
        <v>1.1200000000000001</v>
      </c>
      <c r="S3" s="46">
        <v>0.25</v>
      </c>
      <c r="T3" s="46">
        <v>94</v>
      </c>
      <c r="U3" s="54">
        <v>1000</v>
      </c>
      <c r="V3" s="54">
        <f>(195+335+343+391+370)/7</f>
        <v>233.42857142857142</v>
      </c>
      <c r="W3" s="54">
        <f>(491+137)/2</f>
        <v>314</v>
      </c>
      <c r="X3" s="54">
        <f>(277+201+367+144+412+370)/6</f>
        <v>295.16666666666669</v>
      </c>
      <c r="Y3" s="54">
        <f>370*2/3</f>
        <v>246.66666666666666</v>
      </c>
      <c r="Z3" s="53">
        <f>1630/2</f>
        <v>815</v>
      </c>
      <c r="AA3" s="29">
        <v>2</v>
      </c>
      <c r="AB3" s="29">
        <v>1</v>
      </c>
      <c r="AC3" s="29">
        <v>2</v>
      </c>
      <c r="AD3" s="29">
        <v>2</v>
      </c>
      <c r="AE3" s="29">
        <v>1</v>
      </c>
      <c r="AF3" s="29">
        <v>6</v>
      </c>
      <c r="AG3" s="23" t="s">
        <v>44</v>
      </c>
      <c r="AJ3" s="33" t="s">
        <v>41</v>
      </c>
      <c r="AK3" s="34">
        <f t="shared" ref="AK3:AU3" si="2">(I2+I4+I5+I6+I8+I10+I11+I13+I14+I15+I17+I18)/12</f>
        <v>9.75</v>
      </c>
      <c r="AL3" s="34">
        <f t="shared" si="2"/>
        <v>5.166666666666667</v>
      </c>
      <c r="AM3" s="36">
        <f t="shared" si="2"/>
        <v>2.0833333333333335</v>
      </c>
      <c r="AN3" s="36">
        <f t="shared" si="2"/>
        <v>1.4166666666666667</v>
      </c>
      <c r="AO3" s="34">
        <f t="shared" si="2"/>
        <v>122.51666666666667</v>
      </c>
      <c r="AP3" s="34">
        <f t="shared" si="2"/>
        <v>44.975000000000001</v>
      </c>
      <c r="AQ3" s="34">
        <f t="shared" si="2"/>
        <v>20.95</v>
      </c>
      <c r="AR3" s="34">
        <f t="shared" si="2"/>
        <v>34.083333333333336</v>
      </c>
      <c r="AS3" s="34">
        <f t="shared" si="2"/>
        <v>5.166666666666667</v>
      </c>
      <c r="AT3" s="36">
        <f t="shared" si="2"/>
        <v>1.0308333333333333</v>
      </c>
      <c r="AU3" s="36">
        <f t="shared" si="2"/>
        <v>0.27750000000000002</v>
      </c>
      <c r="AV3" s="34">
        <f t="shared" ref="AV3:BG3" si="3">(T2+T4+T5+T6+T8+T10+T11+T13+T14+T15+T17+T18)/12</f>
        <v>191.5</v>
      </c>
      <c r="AW3" s="34">
        <f t="shared" si="3"/>
        <v>416.91666666666669</v>
      </c>
      <c r="AX3" s="34">
        <f t="shared" si="3"/>
        <v>420.27380952380958</v>
      </c>
      <c r="AY3" s="34">
        <f t="shared" si="3"/>
        <v>257.16666666666669</v>
      </c>
      <c r="AZ3" s="34">
        <f t="shared" si="3"/>
        <v>370.91666666666657</v>
      </c>
      <c r="BA3" s="34">
        <f t="shared" si="3"/>
        <v>81.555555555555557</v>
      </c>
      <c r="BB3" s="34">
        <f t="shared" si="3"/>
        <v>719.29166666666663</v>
      </c>
      <c r="BC3" s="35">
        <f t="shared" si="3"/>
        <v>1</v>
      </c>
      <c r="BD3" s="35">
        <f t="shared" si="3"/>
        <v>0.83333333333333337</v>
      </c>
      <c r="BE3" s="35">
        <f t="shared" si="3"/>
        <v>1.1666666666666667</v>
      </c>
      <c r="BF3" s="35">
        <f t="shared" si="3"/>
        <v>0.5</v>
      </c>
      <c r="BG3" s="35">
        <f t="shared" si="3"/>
        <v>8.3333333333333329E-2</v>
      </c>
      <c r="BH3" s="35">
        <f t="shared" ref="BH3" si="4">(AF2+AF4+AF5+AF6+AF8+AF10+AF11+AF13+AF14+AF15+AF17+AF18)/12</f>
        <v>1.6666666666666667</v>
      </c>
      <c r="BI3" s="36"/>
    </row>
    <row r="4" spans="1:61" ht="54.6" thickBot="1" x14ac:dyDescent="0.4">
      <c r="A4" s="22" t="s">
        <v>2</v>
      </c>
      <c r="B4" s="12" t="s">
        <v>38</v>
      </c>
      <c r="C4" s="12">
        <v>19.73</v>
      </c>
      <c r="D4" s="12">
        <v>19.73</v>
      </c>
      <c r="E4" s="12">
        <v>0.27943000000000001</v>
      </c>
      <c r="F4" s="1">
        <v>0.64429999999999998</v>
      </c>
      <c r="G4" s="12">
        <v>2.0459999999999999E-2</v>
      </c>
      <c r="H4" s="41">
        <v>-1.5520700000000001</v>
      </c>
      <c r="I4" s="42">
        <v>27</v>
      </c>
      <c r="J4" s="42">
        <v>23</v>
      </c>
      <c r="K4" s="42">
        <v>15</v>
      </c>
      <c r="L4" s="42">
        <v>2</v>
      </c>
      <c r="M4" s="42">
        <v>137.6</v>
      </c>
      <c r="N4" s="42">
        <v>53.8</v>
      </c>
      <c r="O4" s="42">
        <v>53.8</v>
      </c>
      <c r="P4" s="43">
        <v>57</v>
      </c>
      <c r="Q4" s="43">
        <v>3</v>
      </c>
      <c r="R4" s="43">
        <v>0.82</v>
      </c>
      <c r="S4" s="43">
        <v>0.04</v>
      </c>
      <c r="T4" s="43">
        <v>56</v>
      </c>
      <c r="U4" s="54">
        <v>1000</v>
      </c>
      <c r="V4" s="54">
        <f>(807+559+954+758+649+689+617)/7</f>
        <v>719</v>
      </c>
      <c r="W4" s="54">
        <f>384/2</f>
        <v>192</v>
      </c>
      <c r="X4" s="54">
        <v>0</v>
      </c>
      <c r="Y4" s="54">
        <f>2423/3</f>
        <v>807.66666666666663</v>
      </c>
      <c r="Z4" s="54">
        <f>1423/2</f>
        <v>711.5</v>
      </c>
      <c r="AA4" s="29">
        <v>2</v>
      </c>
      <c r="AB4" s="29">
        <v>2</v>
      </c>
      <c r="AC4" s="29">
        <v>1</v>
      </c>
      <c r="AD4" s="29">
        <v>0</v>
      </c>
      <c r="AE4" s="29">
        <v>1</v>
      </c>
      <c r="AF4" s="29">
        <v>1</v>
      </c>
      <c r="AG4" s="22" t="s">
        <v>2</v>
      </c>
      <c r="AJ4" s="33" t="s">
        <v>42</v>
      </c>
      <c r="AK4" s="34">
        <f t="shared" ref="AK4:AV4" si="5">MAX(I3,I7,I9,I12,I16,I19,I20)-AK2</f>
        <v>13.714285714285715</v>
      </c>
      <c r="AL4" s="34">
        <f t="shared" si="5"/>
        <v>3.4285714285714284</v>
      </c>
      <c r="AM4" s="36">
        <f t="shared" si="5"/>
        <v>2.5714285714285712</v>
      </c>
      <c r="AN4" s="36">
        <f t="shared" si="5"/>
        <v>0.71428571428571419</v>
      </c>
      <c r="AO4" s="34">
        <f t="shared" si="5"/>
        <v>68.8857142857143</v>
      </c>
      <c r="AP4" s="34">
        <f t="shared" si="5"/>
        <v>9.8857142857142861</v>
      </c>
      <c r="AQ4" s="34">
        <f t="shared" si="5"/>
        <v>18.899999999999999</v>
      </c>
      <c r="AR4" s="34">
        <f t="shared" si="5"/>
        <v>25.571428571428573</v>
      </c>
      <c r="AS4" s="34">
        <f t="shared" si="5"/>
        <v>4.2857142857142856</v>
      </c>
      <c r="AT4" s="36">
        <f t="shared" si="5"/>
        <v>0.58571428571428574</v>
      </c>
      <c r="AU4" s="36">
        <f t="shared" si="5"/>
        <v>0.34</v>
      </c>
      <c r="AV4" s="34">
        <f t="shared" si="5"/>
        <v>148.28571428571428</v>
      </c>
      <c r="AW4" s="34">
        <f>MAX(U3,U7,U9,U12,U16,U19,U20)-AW2</f>
        <v>211.5</v>
      </c>
      <c r="AX4" s="34">
        <f t="shared" ref="AX4:BH4" si="6">MAX(V3,V7,V9,V12,V16,V19,V20)-AX2</f>
        <v>404.51020408163276</v>
      </c>
      <c r="AY4" s="34">
        <f t="shared" si="6"/>
        <v>426.42857142857144</v>
      </c>
      <c r="AZ4" s="34">
        <f t="shared" si="6"/>
        <v>764.47619047619048</v>
      </c>
      <c r="BA4" s="34">
        <f t="shared" si="6"/>
        <v>495.83333333333337</v>
      </c>
      <c r="BB4" s="34">
        <f t="shared" si="6"/>
        <v>159.64285714285711</v>
      </c>
      <c r="BC4" s="35">
        <f t="shared" si="6"/>
        <v>1.2857142857142858</v>
      </c>
      <c r="BD4" s="35">
        <f t="shared" si="6"/>
        <v>1.4285714285714286</v>
      </c>
      <c r="BE4" s="35">
        <f t="shared" si="6"/>
        <v>0.4285714285714286</v>
      </c>
      <c r="BF4" s="35">
        <f t="shared" si="6"/>
        <v>1.5714285714285714</v>
      </c>
      <c r="BG4" s="35">
        <f t="shared" si="6"/>
        <v>1.1428571428571428</v>
      </c>
      <c r="BH4" s="35">
        <f t="shared" si="6"/>
        <v>3.8571428571428572</v>
      </c>
    </row>
    <row r="5" spans="1:61" ht="54.6" thickBot="1" x14ac:dyDescent="0.4">
      <c r="A5" s="22" t="s">
        <v>3</v>
      </c>
      <c r="B5" s="12" t="s">
        <v>38</v>
      </c>
      <c r="C5" s="12">
        <v>28.87</v>
      </c>
      <c r="D5" s="12">
        <v>28.87</v>
      </c>
      <c r="E5" s="12">
        <v>5.0000000000000001E-4</v>
      </c>
      <c r="F5" s="1">
        <v>0.25773000000000001</v>
      </c>
      <c r="G5" s="12">
        <v>6.9100000000000003E-3</v>
      </c>
      <c r="H5" s="41">
        <v>-3.88002</v>
      </c>
      <c r="I5" s="42">
        <v>22</v>
      </c>
      <c r="J5" s="42">
        <v>6</v>
      </c>
      <c r="K5" s="42">
        <v>3</v>
      </c>
      <c r="L5" s="42">
        <v>1</v>
      </c>
      <c r="M5" s="42">
        <v>181</v>
      </c>
      <c r="N5" s="42">
        <v>49</v>
      </c>
      <c r="O5" s="42">
        <v>49</v>
      </c>
      <c r="P5" s="43">
        <v>32</v>
      </c>
      <c r="Q5" s="43">
        <v>7</v>
      </c>
      <c r="R5" s="43">
        <v>1.1200000000000001</v>
      </c>
      <c r="S5" s="43">
        <v>0.25</v>
      </c>
      <c r="T5" s="47">
        <v>94</v>
      </c>
      <c r="U5" s="54">
        <f>(281+485)/2</f>
        <v>383</v>
      </c>
      <c r="V5" s="54">
        <f>6401/7</f>
        <v>914.42857142857144</v>
      </c>
      <c r="W5" s="54">
        <v>707</v>
      </c>
      <c r="X5" s="54">
        <f>(828+598+597+496+666+1000)/6</f>
        <v>697.5</v>
      </c>
      <c r="Y5" s="54">
        <f>243/3</f>
        <v>81</v>
      </c>
      <c r="Z5" s="54">
        <f>1895/2</f>
        <v>947.5</v>
      </c>
      <c r="AA5" s="29">
        <v>1</v>
      </c>
      <c r="AB5" s="29">
        <v>1</v>
      </c>
      <c r="AC5" s="29">
        <v>1</v>
      </c>
      <c r="AD5" s="29">
        <v>1</v>
      </c>
      <c r="AE5" s="29">
        <v>0</v>
      </c>
      <c r="AF5" s="29">
        <v>2</v>
      </c>
      <c r="AG5" s="22" t="s">
        <v>3</v>
      </c>
      <c r="AJ5" s="33" t="s">
        <v>43</v>
      </c>
      <c r="AK5" s="34">
        <f>I4-AK3</f>
        <v>17.25</v>
      </c>
      <c r="AL5" s="34">
        <f>J4-AL3</f>
        <v>17.833333333333332</v>
      </c>
      <c r="AM5" s="36">
        <f>K4-AM3</f>
        <v>12.916666666666666</v>
      </c>
      <c r="AN5" s="36">
        <f t="shared" ref="AN5:AO5" si="7">MAX(L2,L4,L5,L6,L8,L10,L11,L13,L14,L15,L17,L18)-AN3</f>
        <v>4.583333333333333</v>
      </c>
      <c r="AO5" s="34">
        <f t="shared" si="7"/>
        <v>114.48333333333333</v>
      </c>
      <c r="AP5" s="34">
        <f t="shared" ref="AP5" si="8">MAX(N2,N4,N5,N6,N8,N10,N11,N13,N14,N15,N17,N18)-AP3</f>
        <v>10.824999999999996</v>
      </c>
      <c r="AQ5" s="34">
        <f t="shared" ref="AQ5:AV5" si="9">MAX(O2,O4,O5,O6,O8,O10,O11,O13,O14,O15,O17,O18)-AQ3</f>
        <v>32.849999999999994</v>
      </c>
      <c r="AR5" s="34">
        <f t="shared" si="9"/>
        <v>22.916666666666664</v>
      </c>
      <c r="AS5" s="34">
        <f t="shared" si="9"/>
        <v>4.833333333333333</v>
      </c>
      <c r="AT5" s="36">
        <f t="shared" si="9"/>
        <v>0.90916666666666668</v>
      </c>
      <c r="AU5" s="36">
        <f t="shared" si="9"/>
        <v>0.50249999999999995</v>
      </c>
      <c r="AV5" s="34">
        <f t="shared" si="9"/>
        <v>182.5</v>
      </c>
      <c r="AW5" s="34">
        <f>MAX(U2,U4,U5,U6,U8,U10,U11,U13,U14,U15,U17,U18)-AW3</f>
        <v>583.08333333333326</v>
      </c>
      <c r="AX5" s="34">
        <f t="shared" ref="AX5:BH5" si="10">MAX(V2,V4,V5,V6,V8,V10,V11,V13,V14,V15,V17,V18)-AX3</f>
        <v>494.15476190476187</v>
      </c>
      <c r="AY5" s="34">
        <f t="shared" si="10"/>
        <v>572.83333333333326</v>
      </c>
      <c r="AZ5" s="34">
        <f t="shared" si="10"/>
        <v>629.08333333333348</v>
      </c>
      <c r="BA5" s="34">
        <f t="shared" si="10"/>
        <v>726.11111111111109</v>
      </c>
      <c r="BB5" s="34">
        <f t="shared" si="10"/>
        <v>228.20833333333337</v>
      </c>
      <c r="BC5" s="35">
        <f t="shared" si="10"/>
        <v>1</v>
      </c>
      <c r="BD5" s="35">
        <f t="shared" si="10"/>
        <v>1.1666666666666665</v>
      </c>
      <c r="BE5" s="35">
        <f t="shared" si="10"/>
        <v>0.83333333333333326</v>
      </c>
      <c r="BF5" s="35">
        <f t="shared" si="10"/>
        <v>0.5</v>
      </c>
      <c r="BG5" s="35">
        <f t="shared" si="10"/>
        <v>0.91666666666666663</v>
      </c>
      <c r="BH5" s="35">
        <f t="shared" si="10"/>
        <v>1.3333333333333333</v>
      </c>
    </row>
    <row r="6" spans="1:61" ht="54" thickBot="1" x14ac:dyDescent="0.35">
      <c r="A6" s="22" t="s">
        <v>4</v>
      </c>
      <c r="B6" s="12" t="s">
        <v>38</v>
      </c>
      <c r="C6" s="12">
        <v>32.86</v>
      </c>
      <c r="D6" s="12">
        <v>32.86</v>
      </c>
      <c r="E6" s="12">
        <v>3.0000000000000001E-5</v>
      </c>
      <c r="F6" s="1">
        <v>1.5909599999999999</v>
      </c>
      <c r="G6" s="12">
        <v>0.28998000000000002</v>
      </c>
      <c r="H6" s="41">
        <v>1.5909599999999999</v>
      </c>
      <c r="I6" s="42">
        <v>11</v>
      </c>
      <c r="J6" s="42">
        <v>3</v>
      </c>
      <c r="K6" s="42">
        <v>2</v>
      </c>
      <c r="L6" s="42">
        <v>1</v>
      </c>
      <c r="M6" s="42">
        <v>133.4</v>
      </c>
      <c r="N6" s="42">
        <v>53.7</v>
      </c>
      <c r="O6" s="42">
        <v>53.7</v>
      </c>
      <c r="P6" s="43">
        <v>26</v>
      </c>
      <c r="Q6" s="43">
        <v>10</v>
      </c>
      <c r="R6" s="43">
        <v>0.41</v>
      </c>
      <c r="S6" s="43">
        <v>0.16</v>
      </c>
      <c r="T6" s="47">
        <v>80</v>
      </c>
      <c r="U6" s="54">
        <v>0</v>
      </c>
      <c r="V6" s="54">
        <f>(347+435+604+345+401+460)/7</f>
        <v>370.28571428571428</v>
      </c>
      <c r="W6" s="54">
        <f>115/2</f>
        <v>57.5</v>
      </c>
      <c r="X6" s="54">
        <v>0</v>
      </c>
      <c r="Y6" s="54">
        <v>0</v>
      </c>
      <c r="Z6" s="54">
        <f>1847/2</f>
        <v>923.5</v>
      </c>
      <c r="AA6" s="29">
        <v>0</v>
      </c>
      <c r="AB6" s="29">
        <v>1</v>
      </c>
      <c r="AC6" s="29">
        <v>1</v>
      </c>
      <c r="AD6" s="29">
        <v>0</v>
      </c>
      <c r="AE6" s="29">
        <v>0</v>
      </c>
      <c r="AF6" s="29">
        <v>2</v>
      </c>
      <c r="AG6" s="22" t="s">
        <v>4</v>
      </c>
    </row>
    <row r="7" spans="1:61" ht="54" thickBot="1" x14ac:dyDescent="0.35">
      <c r="A7" s="24" t="s">
        <v>5</v>
      </c>
      <c r="B7" s="19" t="s">
        <v>38</v>
      </c>
      <c r="C7" s="14">
        <v>37.07</v>
      </c>
      <c r="D7" s="14">
        <v>37.07</v>
      </c>
      <c r="E7" s="14">
        <v>0</v>
      </c>
      <c r="F7" s="5">
        <v>3.3E-4</v>
      </c>
      <c r="G7" s="14">
        <v>2.0000000000000002E-5</v>
      </c>
      <c r="H7" s="48">
        <v>-3024.7626399999999</v>
      </c>
      <c r="I7" s="45">
        <v>2</v>
      </c>
      <c r="J7" s="45">
        <v>1</v>
      </c>
      <c r="K7" s="45">
        <v>1</v>
      </c>
      <c r="L7" s="45">
        <v>1</v>
      </c>
      <c r="M7" s="45">
        <v>160</v>
      </c>
      <c r="N7" s="45">
        <v>46.8</v>
      </c>
      <c r="O7" s="45">
        <v>46.8</v>
      </c>
      <c r="P7" s="46">
        <v>26</v>
      </c>
      <c r="Q7" s="46">
        <v>10</v>
      </c>
      <c r="R7" s="46">
        <v>0.41</v>
      </c>
      <c r="S7" s="46">
        <v>0.16</v>
      </c>
      <c r="T7" s="49">
        <v>80</v>
      </c>
      <c r="U7" s="53">
        <f>(224+370)/2</f>
        <v>297</v>
      </c>
      <c r="V7" s="54">
        <f>(314+486+586+951+430+364+370)/7</f>
        <v>500.14285714285717</v>
      </c>
      <c r="W7" s="54">
        <f>(955+459)/2</f>
        <v>707</v>
      </c>
      <c r="X7" s="54">
        <v>0</v>
      </c>
      <c r="Y7" s="54">
        <f>(191+370+370)/3</f>
        <v>310.33333333333331</v>
      </c>
      <c r="Z7" s="54">
        <f>1436/2</f>
        <v>718</v>
      </c>
      <c r="AA7" s="29">
        <v>1</v>
      </c>
      <c r="AB7" s="29">
        <v>1</v>
      </c>
      <c r="AC7" s="29">
        <v>2</v>
      </c>
      <c r="AD7" s="29">
        <v>0</v>
      </c>
      <c r="AE7" s="29">
        <v>1</v>
      </c>
      <c r="AF7" s="29">
        <v>2</v>
      </c>
      <c r="AG7" s="24" t="s">
        <v>5</v>
      </c>
    </row>
    <row r="8" spans="1:61" ht="54" thickBot="1" x14ac:dyDescent="0.35">
      <c r="A8" s="25" t="s">
        <v>6</v>
      </c>
      <c r="B8" s="12" t="s">
        <v>38</v>
      </c>
      <c r="C8" s="12">
        <v>28.59</v>
      </c>
      <c r="D8" s="12">
        <v>28.59</v>
      </c>
      <c r="E8" s="12">
        <v>9.3000000000000005E-4</v>
      </c>
      <c r="F8" s="1">
        <v>0.32680999999999999</v>
      </c>
      <c r="G8" s="12">
        <v>6.1830000000000003E-2</v>
      </c>
      <c r="H8" s="41">
        <v>-3.05992</v>
      </c>
      <c r="I8" s="42">
        <v>2</v>
      </c>
      <c r="J8" s="42">
        <v>3</v>
      </c>
      <c r="K8" s="42">
        <v>0</v>
      </c>
      <c r="L8" s="42">
        <v>1</v>
      </c>
      <c r="M8" s="42">
        <v>51</v>
      </c>
      <c r="N8" s="42">
        <v>55.8</v>
      </c>
      <c r="O8" s="42">
        <v>0</v>
      </c>
      <c r="P8" s="43">
        <v>26</v>
      </c>
      <c r="Q8" s="43">
        <v>10</v>
      </c>
      <c r="R8" s="43">
        <v>0.41</v>
      </c>
      <c r="S8" s="43">
        <v>0.16</v>
      </c>
      <c r="T8" s="47">
        <v>80</v>
      </c>
      <c r="U8" s="54">
        <v>94.5</v>
      </c>
      <c r="V8" s="54">
        <f>(210+251+177+199)/7</f>
        <v>119.57142857142857</v>
      </c>
      <c r="W8" s="54">
        <f>(371+117)/2</f>
        <v>244</v>
      </c>
      <c r="X8" s="54">
        <f>(129+143)/6</f>
        <v>45.333333333333336</v>
      </c>
      <c r="Y8" s="54">
        <v>0</v>
      </c>
      <c r="Z8" s="54">
        <v>650</v>
      </c>
      <c r="AA8" s="29">
        <v>1</v>
      </c>
      <c r="AB8" s="29">
        <v>1</v>
      </c>
      <c r="AC8" s="29">
        <v>1</v>
      </c>
      <c r="AD8" s="29">
        <v>0</v>
      </c>
      <c r="AE8" s="29">
        <v>0</v>
      </c>
      <c r="AF8" s="29">
        <v>2</v>
      </c>
      <c r="AG8" s="25" t="s">
        <v>6</v>
      </c>
    </row>
    <row r="9" spans="1:61" ht="54" thickBot="1" x14ac:dyDescent="0.35">
      <c r="A9" s="26" t="s">
        <v>7</v>
      </c>
      <c r="B9" s="18" t="s">
        <v>38</v>
      </c>
      <c r="C9" s="13">
        <v>26.08</v>
      </c>
      <c r="D9" s="13">
        <v>26.08</v>
      </c>
      <c r="E9" s="13">
        <v>5.2900000000000004E-3</v>
      </c>
      <c r="F9" s="4">
        <v>0.15708</v>
      </c>
      <c r="G9" s="13">
        <v>8.5000000000000006E-3</v>
      </c>
      <c r="H9" s="44">
        <v>-6.3661199999999996</v>
      </c>
      <c r="I9" s="45">
        <v>1</v>
      </c>
      <c r="J9" s="45">
        <v>1</v>
      </c>
      <c r="K9" s="45">
        <v>0</v>
      </c>
      <c r="L9" s="45">
        <v>1</v>
      </c>
      <c r="M9" s="45">
        <v>101</v>
      </c>
      <c r="N9" s="45">
        <v>46.3</v>
      </c>
      <c r="O9" s="45">
        <v>0</v>
      </c>
      <c r="P9" s="46">
        <v>26</v>
      </c>
      <c r="Q9" s="46">
        <v>10</v>
      </c>
      <c r="R9" s="46">
        <v>0.41</v>
      </c>
      <c r="S9" s="46">
        <v>0.16</v>
      </c>
      <c r="T9" s="49">
        <v>80</v>
      </c>
      <c r="U9" s="54">
        <f>(465+862)/2</f>
        <v>663.5</v>
      </c>
      <c r="V9" s="54">
        <f>(277+599+538+669+379+286)/7</f>
        <v>392.57142857142856</v>
      </c>
      <c r="W9" s="54">
        <v>0</v>
      </c>
      <c r="X9" s="54">
        <v>0</v>
      </c>
      <c r="Y9" s="54">
        <f>2659/3</f>
        <v>886.33333333333337</v>
      </c>
      <c r="Z9" s="54">
        <v>500</v>
      </c>
      <c r="AA9" s="29">
        <v>1</v>
      </c>
      <c r="AB9" s="29">
        <v>1</v>
      </c>
      <c r="AC9" s="29">
        <v>0</v>
      </c>
      <c r="AD9" s="29">
        <v>0</v>
      </c>
      <c r="AE9" s="29">
        <v>1</v>
      </c>
      <c r="AF9" s="29">
        <v>1</v>
      </c>
      <c r="AG9" s="26" t="s">
        <v>7</v>
      </c>
    </row>
    <row r="10" spans="1:61" ht="54" thickBot="1" x14ac:dyDescent="0.35">
      <c r="A10" s="25" t="s">
        <v>8</v>
      </c>
      <c r="B10" s="12" t="s">
        <v>38</v>
      </c>
      <c r="C10" s="12">
        <v>28.24</v>
      </c>
      <c r="D10" s="12">
        <v>28.24</v>
      </c>
      <c r="E10" s="12">
        <v>1.1900000000000001E-3</v>
      </c>
      <c r="F10" s="1">
        <v>0.79310000000000003</v>
      </c>
      <c r="G10" s="12">
        <v>4.7669999999999997E-2</v>
      </c>
      <c r="H10" s="41">
        <v>-1.26088</v>
      </c>
      <c r="I10" s="42">
        <v>11</v>
      </c>
      <c r="J10" s="42">
        <v>5</v>
      </c>
      <c r="K10" s="42">
        <v>2</v>
      </c>
      <c r="L10" s="42">
        <v>1</v>
      </c>
      <c r="M10" s="42">
        <v>96</v>
      </c>
      <c r="N10" s="42">
        <v>52</v>
      </c>
      <c r="O10" s="42">
        <v>47.1</v>
      </c>
      <c r="P10" s="43">
        <v>32</v>
      </c>
      <c r="Q10" s="43">
        <v>7</v>
      </c>
      <c r="R10" s="43">
        <v>1.1200000000000001</v>
      </c>
      <c r="S10" s="43">
        <v>0.25</v>
      </c>
      <c r="T10" s="47">
        <v>94</v>
      </c>
      <c r="U10" s="54">
        <f>(483+908)/2</f>
        <v>695.5</v>
      </c>
      <c r="V10" s="54">
        <f>(858+479+224+309+219+179)/7</f>
        <v>324</v>
      </c>
      <c r="W10" s="54">
        <f>(336+158)/2</f>
        <v>247</v>
      </c>
      <c r="X10" s="54">
        <f>(839+510+989+3000)/6</f>
        <v>889.66666666666663</v>
      </c>
      <c r="Y10" s="54">
        <f>139/3</f>
        <v>46.333333333333336</v>
      </c>
      <c r="Z10" s="53">
        <f>1665/2</f>
        <v>832.5</v>
      </c>
      <c r="AA10" s="29">
        <v>1</v>
      </c>
      <c r="AB10" s="29">
        <v>1</v>
      </c>
      <c r="AC10" s="29">
        <v>2</v>
      </c>
      <c r="AD10" s="29">
        <v>1</v>
      </c>
      <c r="AE10" s="29">
        <v>0</v>
      </c>
      <c r="AF10" s="29">
        <v>3</v>
      </c>
      <c r="AG10" s="25" t="s">
        <v>8</v>
      </c>
    </row>
    <row r="11" spans="1:61" ht="54" thickBot="1" x14ac:dyDescent="0.35">
      <c r="A11" s="25" t="s">
        <v>9</v>
      </c>
      <c r="B11" s="12" t="s">
        <v>38</v>
      </c>
      <c r="C11" s="12">
        <v>29.27</v>
      </c>
      <c r="D11" s="12">
        <v>29.27</v>
      </c>
      <c r="E11" s="12">
        <v>5.8E-4</v>
      </c>
      <c r="F11" s="1">
        <v>0.69142999999999999</v>
      </c>
      <c r="G11" s="12">
        <v>4.8070000000000002E-2</v>
      </c>
      <c r="H11" s="41">
        <v>-1.4462699999999999</v>
      </c>
      <c r="I11" s="42">
        <v>6</v>
      </c>
      <c r="J11" s="42">
        <v>2</v>
      </c>
      <c r="K11" s="42">
        <v>0</v>
      </c>
      <c r="L11" s="42">
        <v>1</v>
      </c>
      <c r="M11" s="42">
        <v>162</v>
      </c>
      <c r="N11" s="42">
        <v>49.3</v>
      </c>
      <c r="O11" s="42">
        <v>0</v>
      </c>
      <c r="P11" s="43">
        <v>2</v>
      </c>
      <c r="Q11" s="43">
        <v>3</v>
      </c>
      <c r="R11" s="43">
        <v>0.41</v>
      </c>
      <c r="S11" s="43">
        <v>0.62</v>
      </c>
      <c r="T11" s="43">
        <v>348</v>
      </c>
      <c r="U11" s="54">
        <f>(593+418)/2</f>
        <v>505.5</v>
      </c>
      <c r="V11" s="54">
        <f>(673+724+2742+957+893)/7</f>
        <v>855.57142857142856</v>
      </c>
      <c r="W11" s="54">
        <v>830</v>
      </c>
      <c r="X11" s="54">
        <v>1000</v>
      </c>
      <c r="Y11" s="54">
        <f>131/3</f>
        <v>43.666666666666664</v>
      </c>
      <c r="Z11" s="54">
        <f>1479/2</f>
        <v>739.5</v>
      </c>
      <c r="AA11" s="29">
        <v>2</v>
      </c>
      <c r="AB11" s="29">
        <v>1</v>
      </c>
      <c r="AC11" s="29">
        <v>2</v>
      </c>
      <c r="AD11" s="29">
        <v>1</v>
      </c>
      <c r="AE11" s="29">
        <v>0</v>
      </c>
      <c r="AF11" s="29">
        <v>2</v>
      </c>
      <c r="AG11" s="25" t="s">
        <v>9</v>
      </c>
    </row>
    <row r="12" spans="1:61" ht="54" thickBot="1" x14ac:dyDescent="0.35">
      <c r="A12" s="26" t="s">
        <v>10</v>
      </c>
      <c r="B12" s="18" t="s">
        <v>38</v>
      </c>
      <c r="C12" s="13">
        <v>28.28</v>
      </c>
      <c r="D12" s="13">
        <v>28.28</v>
      </c>
      <c r="E12" s="13">
        <v>1.16E-3</v>
      </c>
      <c r="F12" s="4">
        <v>0.18856999999999999</v>
      </c>
      <c r="G12" s="13">
        <v>1.3100000000000001E-2</v>
      </c>
      <c r="H12" s="44">
        <v>-5.3029500000000001</v>
      </c>
      <c r="I12" s="45">
        <v>5</v>
      </c>
      <c r="J12" s="45">
        <v>4</v>
      </c>
      <c r="K12" s="45">
        <v>1</v>
      </c>
      <c r="L12" s="45">
        <v>1</v>
      </c>
      <c r="M12" s="45">
        <v>219</v>
      </c>
      <c r="N12" s="45">
        <v>57.5</v>
      </c>
      <c r="O12" s="45">
        <v>52.8</v>
      </c>
      <c r="P12" s="46">
        <v>53</v>
      </c>
      <c r="Q12" s="46">
        <v>4</v>
      </c>
      <c r="R12" s="46">
        <v>1.28</v>
      </c>
      <c r="S12" s="46">
        <v>0.1</v>
      </c>
      <c r="T12" s="49">
        <v>294</v>
      </c>
      <c r="U12" s="54">
        <v>1000</v>
      </c>
      <c r="V12" s="54">
        <f>(566+464+815+929+1831+370)/7</f>
        <v>710.71428571428567</v>
      </c>
      <c r="W12" s="54">
        <v>502</v>
      </c>
      <c r="X12" s="54">
        <f>(4799+889)/6</f>
        <v>948</v>
      </c>
      <c r="Y12" s="54">
        <f>534*2/3</f>
        <v>356</v>
      </c>
      <c r="Z12" s="54">
        <f>1278/2</f>
        <v>639</v>
      </c>
      <c r="AA12" s="29">
        <v>2</v>
      </c>
      <c r="AB12" s="29">
        <v>2</v>
      </c>
      <c r="AC12" s="29">
        <v>1</v>
      </c>
      <c r="AD12" s="29">
        <v>1</v>
      </c>
      <c r="AE12" s="29">
        <v>1</v>
      </c>
      <c r="AF12" s="29">
        <v>1</v>
      </c>
      <c r="AG12" s="26" t="s">
        <v>10</v>
      </c>
    </row>
    <row r="13" spans="1:61" ht="54" thickBot="1" x14ac:dyDescent="0.35">
      <c r="A13" s="27" t="s">
        <v>11</v>
      </c>
      <c r="B13" s="15" t="s">
        <v>38</v>
      </c>
      <c r="C13" s="15">
        <v>31.57</v>
      </c>
      <c r="D13" s="15">
        <v>31.57</v>
      </c>
      <c r="E13" s="15">
        <v>1.2E-4</v>
      </c>
      <c r="F13" s="3">
        <v>0.26582</v>
      </c>
      <c r="G13" s="15">
        <v>2.8289999999999999E-2</v>
      </c>
      <c r="H13" s="50">
        <v>-3.7618900000000002</v>
      </c>
      <c r="I13" s="42">
        <v>3</v>
      </c>
      <c r="J13" s="42">
        <v>3</v>
      </c>
      <c r="K13" s="42">
        <v>0</v>
      </c>
      <c r="L13" s="42">
        <v>1</v>
      </c>
      <c r="M13" s="42">
        <v>137</v>
      </c>
      <c r="N13" s="42">
        <v>44.5</v>
      </c>
      <c r="O13" s="42">
        <v>0</v>
      </c>
      <c r="P13" s="43">
        <v>53</v>
      </c>
      <c r="Q13" s="43">
        <v>4</v>
      </c>
      <c r="R13" s="43">
        <v>1.28</v>
      </c>
      <c r="S13" s="43">
        <v>0.1</v>
      </c>
      <c r="T13" s="47">
        <v>294</v>
      </c>
      <c r="U13" s="54">
        <f>1578/2</f>
        <v>789</v>
      </c>
      <c r="V13" s="54">
        <f>(378+255+693+433+472+631+370)/7</f>
        <v>461.71428571428572</v>
      </c>
      <c r="W13" s="54">
        <v>116.5</v>
      </c>
      <c r="X13" s="54">
        <f>142/6</f>
        <v>23.666666666666668</v>
      </c>
      <c r="Y13" s="54">
        <v>0</v>
      </c>
      <c r="Z13" s="54">
        <f>1714/2</f>
        <v>857</v>
      </c>
      <c r="AA13" s="29">
        <v>1</v>
      </c>
      <c r="AB13" s="29">
        <v>2</v>
      </c>
      <c r="AC13" s="29">
        <v>1</v>
      </c>
      <c r="AD13" s="29">
        <v>0</v>
      </c>
      <c r="AE13" s="29">
        <v>0</v>
      </c>
      <c r="AF13" s="29">
        <v>1</v>
      </c>
      <c r="AG13" s="27" t="s">
        <v>11</v>
      </c>
    </row>
    <row r="14" spans="1:61" ht="54" thickBot="1" x14ac:dyDescent="0.35">
      <c r="A14" s="25" t="s">
        <v>12</v>
      </c>
      <c r="B14" s="12" t="s">
        <v>38</v>
      </c>
      <c r="C14" s="12">
        <v>32.07</v>
      </c>
      <c r="D14" s="12">
        <v>32.07</v>
      </c>
      <c r="E14" s="12">
        <v>8.0000000000000007E-5</v>
      </c>
      <c r="F14" s="1">
        <v>0.56464000000000003</v>
      </c>
      <c r="G14" s="12">
        <v>4.5030000000000001E-2</v>
      </c>
      <c r="H14" s="41">
        <v>-1.7710399999999999</v>
      </c>
      <c r="I14" s="42">
        <v>8</v>
      </c>
      <c r="J14" s="42">
        <v>3</v>
      </c>
      <c r="K14" s="42">
        <v>0</v>
      </c>
      <c r="L14" s="42">
        <v>1</v>
      </c>
      <c r="M14" s="42">
        <v>237</v>
      </c>
      <c r="N14" s="42">
        <v>48.8</v>
      </c>
      <c r="O14" s="42">
        <v>0</v>
      </c>
      <c r="P14" s="43">
        <v>53</v>
      </c>
      <c r="Q14" s="43">
        <v>4</v>
      </c>
      <c r="R14" s="43">
        <v>1.28</v>
      </c>
      <c r="S14" s="43">
        <v>0.1</v>
      </c>
      <c r="T14" s="47">
        <v>294</v>
      </c>
      <c r="U14" s="54">
        <f>175/2</f>
        <v>87.5</v>
      </c>
      <c r="V14" s="54">
        <f>(220+173+278)/7</f>
        <v>95.857142857142861</v>
      </c>
      <c r="W14" s="54">
        <v>0</v>
      </c>
      <c r="X14" s="54">
        <f>112/6</f>
        <v>18.666666666666668</v>
      </c>
      <c r="Y14" s="54">
        <v>0</v>
      </c>
      <c r="Z14" s="54">
        <v>500</v>
      </c>
      <c r="AA14" s="29">
        <v>1</v>
      </c>
      <c r="AB14" s="29">
        <v>0</v>
      </c>
      <c r="AC14" s="29">
        <v>0</v>
      </c>
      <c r="AD14" s="29">
        <v>0</v>
      </c>
      <c r="AE14" s="29">
        <v>0</v>
      </c>
      <c r="AF14" s="29">
        <v>1</v>
      </c>
      <c r="AG14" s="25" t="s">
        <v>12</v>
      </c>
    </row>
    <row r="15" spans="1:61" ht="54" thickBot="1" x14ac:dyDescent="0.35">
      <c r="A15" s="25" t="s">
        <v>13</v>
      </c>
      <c r="B15" s="12" t="s">
        <v>38</v>
      </c>
      <c r="C15" s="12">
        <v>31.08</v>
      </c>
      <c r="D15" s="12">
        <v>31.08</v>
      </c>
      <c r="E15" s="12">
        <v>1.6000000000000001E-4</v>
      </c>
      <c r="F15" s="1">
        <v>0.45896999999999999</v>
      </c>
      <c r="G15" s="12">
        <v>2.46E-2</v>
      </c>
      <c r="H15" s="41">
        <v>-2.1787999999999998</v>
      </c>
      <c r="I15" s="42">
        <v>5</v>
      </c>
      <c r="J15" s="42">
        <v>2</v>
      </c>
      <c r="K15" s="42">
        <v>0</v>
      </c>
      <c r="L15" s="42">
        <v>1</v>
      </c>
      <c r="M15" s="42">
        <v>60</v>
      </c>
      <c r="N15" s="42">
        <v>46.3</v>
      </c>
      <c r="O15" s="42">
        <v>0</v>
      </c>
      <c r="P15" s="43">
        <v>51</v>
      </c>
      <c r="Q15" s="43">
        <v>3</v>
      </c>
      <c r="R15" s="43">
        <v>0.82</v>
      </c>
      <c r="S15" s="43">
        <v>0.05</v>
      </c>
      <c r="T15" s="43">
        <v>154</v>
      </c>
      <c r="U15" s="54">
        <v>0</v>
      </c>
      <c r="V15" s="54">
        <f>211/7</f>
        <v>30.142857142857142</v>
      </c>
      <c r="W15" s="54">
        <f>268/2</f>
        <v>134</v>
      </c>
      <c r="X15" s="54">
        <v>0</v>
      </c>
      <c r="Y15" s="54">
        <v>0</v>
      </c>
      <c r="Z15" s="54">
        <f>903/2</f>
        <v>451.5</v>
      </c>
      <c r="AA15" s="29">
        <v>0</v>
      </c>
      <c r="AB15" s="29">
        <v>0</v>
      </c>
      <c r="AC15" s="29">
        <v>1</v>
      </c>
      <c r="AD15" s="29">
        <v>0</v>
      </c>
      <c r="AE15" s="29">
        <v>0</v>
      </c>
      <c r="AF15" s="29">
        <v>1</v>
      </c>
      <c r="AG15" s="25" t="s">
        <v>58</v>
      </c>
    </row>
    <row r="16" spans="1:61" ht="54" thickBot="1" x14ac:dyDescent="0.35">
      <c r="A16" s="26" t="s">
        <v>14</v>
      </c>
      <c r="B16" s="18" t="s">
        <v>38</v>
      </c>
      <c r="C16" s="13">
        <v>33.54</v>
      </c>
      <c r="D16" s="13">
        <v>33.54</v>
      </c>
      <c r="E16" s="13">
        <v>3.0000000000000001E-5</v>
      </c>
      <c r="F16" s="4">
        <v>2.8800000000000002E-3</v>
      </c>
      <c r="G16" s="13">
        <v>3.4000000000000002E-4</v>
      </c>
      <c r="H16" s="44">
        <v>-347.81556</v>
      </c>
      <c r="I16" s="45">
        <v>20</v>
      </c>
      <c r="J16" s="45">
        <v>4</v>
      </c>
      <c r="K16" s="45">
        <v>4</v>
      </c>
      <c r="L16" s="45">
        <v>2</v>
      </c>
      <c r="M16" s="45">
        <v>240</v>
      </c>
      <c r="N16" s="45">
        <v>51.3</v>
      </c>
      <c r="O16" s="45">
        <v>51.3</v>
      </c>
      <c r="P16" s="46">
        <v>51</v>
      </c>
      <c r="Q16" s="46">
        <v>3</v>
      </c>
      <c r="R16" s="46">
        <v>0.82</v>
      </c>
      <c r="S16" s="46">
        <v>0.05</v>
      </c>
      <c r="T16" s="46">
        <v>154</v>
      </c>
      <c r="U16" s="54">
        <f>(407+711)/2</f>
        <v>559</v>
      </c>
      <c r="V16" s="54">
        <f>(159+215+344+536+309)/7</f>
        <v>223.28571428571428</v>
      </c>
      <c r="W16" s="54">
        <f>1756/2</f>
        <v>878</v>
      </c>
      <c r="X16" s="54">
        <v>0</v>
      </c>
      <c r="Y16" s="54">
        <f>117/2</f>
        <v>58.5</v>
      </c>
      <c r="Z16" s="54">
        <f>1447/2</f>
        <v>723.5</v>
      </c>
      <c r="AA16" s="29">
        <v>1</v>
      </c>
      <c r="AB16" s="29">
        <v>1</v>
      </c>
      <c r="AC16" s="29">
        <v>2</v>
      </c>
      <c r="AD16" s="29">
        <v>0</v>
      </c>
      <c r="AE16" s="29">
        <v>0</v>
      </c>
      <c r="AF16" s="29">
        <v>2</v>
      </c>
      <c r="AG16" s="26" t="s">
        <v>14</v>
      </c>
    </row>
    <row r="17" spans="1:33" ht="54" thickBot="1" x14ac:dyDescent="0.35">
      <c r="A17" s="25" t="s">
        <v>15</v>
      </c>
      <c r="B17" s="12" t="s">
        <v>38</v>
      </c>
      <c r="C17" s="12">
        <v>25.92</v>
      </c>
      <c r="D17" s="12">
        <v>25.92</v>
      </c>
      <c r="E17" s="12">
        <v>5.7800000000000004E-3</v>
      </c>
      <c r="F17" s="1">
        <v>0.30137999999999998</v>
      </c>
      <c r="G17" s="12">
        <v>1.6539999999999999E-2</v>
      </c>
      <c r="H17" s="41">
        <v>-3.31812</v>
      </c>
      <c r="I17" s="42">
        <v>6</v>
      </c>
      <c r="J17" s="42">
        <v>1</v>
      </c>
      <c r="K17" s="42">
        <v>0</v>
      </c>
      <c r="L17" s="42">
        <v>1</v>
      </c>
      <c r="M17" s="42">
        <v>118</v>
      </c>
      <c r="N17" s="42">
        <v>38.700000000000003</v>
      </c>
      <c r="O17" s="42">
        <v>0</v>
      </c>
      <c r="P17" s="43">
        <v>10</v>
      </c>
      <c r="Q17" s="43">
        <v>4</v>
      </c>
      <c r="R17" s="43">
        <v>1.94</v>
      </c>
      <c r="S17" s="43">
        <v>0.78</v>
      </c>
      <c r="T17" s="43">
        <v>374</v>
      </c>
      <c r="U17" s="54">
        <f>1971/2</f>
        <v>985.5</v>
      </c>
      <c r="V17" s="54">
        <f>(407+467+736+622+551+408+162)/7</f>
        <v>479</v>
      </c>
      <c r="W17" s="54">
        <f>(899+113)/2</f>
        <v>506</v>
      </c>
      <c r="X17" s="54">
        <f>(686+538+704+340+661+720)/6</f>
        <v>608.16666666666663</v>
      </c>
      <c r="Y17" s="54">
        <v>0</v>
      </c>
      <c r="Z17" s="54">
        <f>1307/2</f>
        <v>653.5</v>
      </c>
      <c r="AA17" s="29">
        <v>1</v>
      </c>
      <c r="AB17" s="29">
        <v>1</v>
      </c>
      <c r="AC17" s="29">
        <v>2</v>
      </c>
      <c r="AD17" s="29">
        <v>1</v>
      </c>
      <c r="AE17" s="29">
        <v>0</v>
      </c>
      <c r="AF17" s="29">
        <v>2</v>
      </c>
      <c r="AG17" s="25" t="s">
        <v>15</v>
      </c>
    </row>
    <row r="18" spans="1:33" ht="54" thickBot="1" x14ac:dyDescent="0.35">
      <c r="A18" s="25" t="s">
        <v>16</v>
      </c>
      <c r="B18" s="12" t="s">
        <v>38</v>
      </c>
      <c r="C18" s="12">
        <v>32.31</v>
      </c>
      <c r="D18" s="12">
        <v>32.31</v>
      </c>
      <c r="E18" s="12">
        <v>6.9999999999999994E-5</v>
      </c>
      <c r="F18" s="1">
        <v>0.34037000000000001</v>
      </c>
      <c r="G18" s="12">
        <v>1.9089999999999999E-2</v>
      </c>
      <c r="H18" s="41">
        <v>-2.93798</v>
      </c>
      <c r="I18" s="42">
        <v>16</v>
      </c>
      <c r="J18" s="42">
        <v>11</v>
      </c>
      <c r="K18" s="42">
        <v>3</v>
      </c>
      <c r="L18" s="42">
        <v>6</v>
      </c>
      <c r="M18" s="42">
        <v>157.19999999999999</v>
      </c>
      <c r="N18" s="42">
        <v>47.8</v>
      </c>
      <c r="O18" s="42">
        <v>47.8</v>
      </c>
      <c r="P18" s="43">
        <v>10</v>
      </c>
      <c r="Q18" s="43">
        <v>4</v>
      </c>
      <c r="R18" s="43">
        <v>1.94</v>
      </c>
      <c r="S18" s="43">
        <v>0.78</v>
      </c>
      <c r="T18" s="43">
        <v>374</v>
      </c>
      <c r="U18" s="54">
        <v>82</v>
      </c>
      <c r="V18" s="54">
        <f>(229+648+784)/7</f>
        <v>237.28571428571428</v>
      </c>
      <c r="W18" s="54">
        <v>52</v>
      </c>
      <c r="X18" s="54">
        <f>(608+739+807+889+1803)/6</f>
        <v>807.66666666666663</v>
      </c>
      <c r="Y18" s="54">
        <v>0</v>
      </c>
      <c r="Z18" s="54">
        <f>1476/2</f>
        <v>738</v>
      </c>
      <c r="AA18" s="29">
        <v>1</v>
      </c>
      <c r="AB18" s="29">
        <v>0</v>
      </c>
      <c r="AC18" s="29">
        <v>1</v>
      </c>
      <c r="AD18" s="29">
        <v>1</v>
      </c>
      <c r="AE18" s="29">
        <v>0</v>
      </c>
      <c r="AF18" s="29">
        <v>2</v>
      </c>
      <c r="AG18" s="25" t="s">
        <v>16</v>
      </c>
    </row>
    <row r="19" spans="1:33" ht="54" thickBot="1" x14ac:dyDescent="0.35">
      <c r="A19" s="28" t="s">
        <v>17</v>
      </c>
      <c r="B19" s="19" t="s">
        <v>38</v>
      </c>
      <c r="C19" s="14">
        <v>27.5</v>
      </c>
      <c r="D19" s="14">
        <v>27.5</v>
      </c>
      <c r="E19" s="14">
        <v>1.9400000000000001E-3</v>
      </c>
      <c r="F19" s="5">
        <v>0.23444999999999999</v>
      </c>
      <c r="G19" s="14">
        <v>1.337E-2</v>
      </c>
      <c r="H19" s="48">
        <v>-4.2653699999999999</v>
      </c>
      <c r="I19" s="45">
        <v>1</v>
      </c>
      <c r="J19" s="45">
        <v>1</v>
      </c>
      <c r="K19" s="45">
        <v>1</v>
      </c>
      <c r="L19" s="45">
        <v>1</v>
      </c>
      <c r="M19" s="45">
        <v>150</v>
      </c>
      <c r="N19" s="45">
        <v>40.799999999999997</v>
      </c>
      <c r="O19" s="45">
        <v>40.799999999999997</v>
      </c>
      <c r="P19" s="46">
        <v>2</v>
      </c>
      <c r="Q19" s="46">
        <v>3</v>
      </c>
      <c r="R19" s="46">
        <v>0.41</v>
      </c>
      <c r="S19" s="46">
        <v>0.62</v>
      </c>
      <c r="T19" s="46">
        <v>348</v>
      </c>
      <c r="U19" s="54">
        <v>1000</v>
      </c>
      <c r="V19" s="54">
        <f>(1000+923+1748+736+689+736)/7</f>
        <v>833.14285714285711</v>
      </c>
      <c r="W19" s="54">
        <f>(383+128)/2</f>
        <v>255.5</v>
      </c>
      <c r="X19" s="54">
        <f>(118+131)/6</f>
        <v>41.5</v>
      </c>
      <c r="Y19" s="54">
        <f>172/3</f>
        <v>57.333333333333336</v>
      </c>
      <c r="Z19" s="54">
        <f>1348/2</f>
        <v>674</v>
      </c>
      <c r="AA19" s="29">
        <v>2</v>
      </c>
      <c r="AB19" s="29">
        <v>2</v>
      </c>
      <c r="AC19" s="29">
        <v>2</v>
      </c>
      <c r="AD19" s="29">
        <v>0</v>
      </c>
      <c r="AE19" s="29">
        <v>0</v>
      </c>
      <c r="AF19" s="29">
        <v>1</v>
      </c>
      <c r="AG19" s="28" t="s">
        <v>17</v>
      </c>
    </row>
    <row r="20" spans="1:33" ht="54" thickBot="1" x14ac:dyDescent="0.35">
      <c r="A20" s="28" t="s">
        <v>18</v>
      </c>
      <c r="B20" s="19" t="s">
        <v>38</v>
      </c>
      <c r="C20" s="14">
        <v>25.13</v>
      </c>
      <c r="D20" s="14">
        <v>25.13</v>
      </c>
      <c r="E20" s="14">
        <v>1.2630000000000001E-2</v>
      </c>
      <c r="F20" s="5">
        <v>0.20871999999999999</v>
      </c>
      <c r="G20" s="14">
        <v>6.1900000000000002E-3</v>
      </c>
      <c r="H20" s="48">
        <v>-4.7912100000000004</v>
      </c>
      <c r="I20" s="45">
        <v>3</v>
      </c>
      <c r="J20" s="45">
        <v>1</v>
      </c>
      <c r="K20" s="45">
        <v>0</v>
      </c>
      <c r="L20" s="45">
        <v>2</v>
      </c>
      <c r="M20" s="45">
        <v>154</v>
      </c>
      <c r="N20" s="45">
        <v>36.6</v>
      </c>
      <c r="O20" s="45">
        <v>0</v>
      </c>
      <c r="P20" s="46">
        <v>2</v>
      </c>
      <c r="Q20" s="46">
        <v>3</v>
      </c>
      <c r="R20" s="46">
        <v>0.41</v>
      </c>
      <c r="S20" s="46">
        <v>0.62</v>
      </c>
      <c r="T20" s="46">
        <v>348</v>
      </c>
      <c r="U20" s="54">
        <v>1000</v>
      </c>
      <c r="V20" s="54">
        <f>6679/7</f>
        <v>954.14285714285711</v>
      </c>
      <c r="W20" s="54">
        <f>(887+122)/2</f>
        <v>504.5</v>
      </c>
      <c r="X20" s="54">
        <v>0</v>
      </c>
      <c r="Y20" s="54">
        <f>2455/3</f>
        <v>818.33333333333337</v>
      </c>
      <c r="Z20" s="54">
        <f>1729/2</f>
        <v>864.5</v>
      </c>
      <c r="AA20" s="29">
        <v>3</v>
      </c>
      <c r="AB20" s="29">
        <v>3</v>
      </c>
      <c r="AC20" s="29">
        <v>2</v>
      </c>
      <c r="AD20" s="29">
        <v>0</v>
      </c>
      <c r="AE20" s="29">
        <v>2</v>
      </c>
      <c r="AF20" s="29">
        <v>2</v>
      </c>
      <c r="AG20" s="28" t="s">
        <v>18</v>
      </c>
    </row>
    <row r="21" spans="1:33" x14ac:dyDescent="0.3">
      <c r="U21" s="52"/>
      <c r="V21" s="52"/>
      <c r="W21" s="52"/>
      <c r="X21" s="52"/>
      <c r="Y21" s="52"/>
      <c r="Z21" s="52"/>
      <c r="AA21" s="55"/>
      <c r="AB21" s="55"/>
      <c r="AC21" s="55"/>
      <c r="AD21" s="55"/>
      <c r="AE21" s="55"/>
      <c r="AF21" s="55"/>
    </row>
    <row r="26" spans="1:33" ht="15" thickBot="1" x14ac:dyDescent="0.35"/>
    <row r="27" spans="1:33" ht="15" thickBot="1" x14ac:dyDescent="0.35">
      <c r="A27" s="25"/>
      <c r="B27" s="12"/>
      <c r="C27" s="12"/>
      <c r="D27" s="12"/>
      <c r="E27" s="12"/>
      <c r="F27" s="1"/>
      <c r="G27" s="12"/>
      <c r="H27" s="1"/>
      <c r="AG27" s="25"/>
    </row>
    <row r="28" spans="1:33" ht="15" thickBot="1" x14ac:dyDescent="0.35">
      <c r="A28" s="25"/>
      <c r="B28" s="12"/>
      <c r="C28" s="12"/>
      <c r="D28" s="12"/>
      <c r="E28" s="12"/>
      <c r="F28" s="1"/>
      <c r="G28" s="12"/>
      <c r="H28" s="1"/>
      <c r="AG28" s="25"/>
    </row>
    <row r="29" spans="1:33" ht="15" thickBot="1" x14ac:dyDescent="0.35">
      <c r="A29" s="27"/>
      <c r="B29" s="15"/>
      <c r="C29" s="15"/>
      <c r="D29" s="15"/>
      <c r="E29" s="15"/>
      <c r="F29" s="3"/>
      <c r="G29" s="15"/>
      <c r="H29" s="3"/>
      <c r="AG29" s="27"/>
    </row>
    <row r="30" spans="1:33" ht="15" thickBot="1" x14ac:dyDescent="0.35">
      <c r="A30" s="22"/>
      <c r="B30" s="12"/>
      <c r="C30" s="12"/>
      <c r="D30" s="12"/>
      <c r="E30" s="12"/>
      <c r="F30" s="1"/>
      <c r="G30" s="12"/>
      <c r="H30" s="1"/>
      <c r="AG30" s="22"/>
    </row>
    <row r="31" spans="1:33" ht="15" thickBot="1" x14ac:dyDescent="0.35">
      <c r="A31" s="25"/>
      <c r="B31" s="12"/>
      <c r="C31" s="12"/>
      <c r="D31" s="12"/>
      <c r="E31" s="12"/>
      <c r="F31" s="1"/>
      <c r="G31" s="12"/>
      <c r="H31" s="1"/>
      <c r="AG31" s="25"/>
    </row>
    <row r="32" spans="1:33" ht="15" thickBot="1" x14ac:dyDescent="0.35">
      <c r="A32" s="22"/>
      <c r="B32" s="12"/>
      <c r="C32" s="12"/>
      <c r="D32" s="12"/>
      <c r="E32" s="12"/>
      <c r="F32" s="1"/>
      <c r="G32" s="12"/>
      <c r="H32" s="1"/>
      <c r="AG32" s="22"/>
    </row>
    <row r="33" spans="1:33" ht="15" thickBot="1" x14ac:dyDescent="0.35">
      <c r="A33" s="22"/>
      <c r="B33" s="12"/>
      <c r="C33" s="12"/>
      <c r="D33" s="12"/>
      <c r="E33" s="12"/>
      <c r="F33" s="1"/>
      <c r="G33" s="12"/>
      <c r="H33" s="1"/>
      <c r="AG33" s="22"/>
    </row>
    <row r="34" spans="1:33" ht="15" thickBot="1" x14ac:dyDescent="0.35">
      <c r="A34" s="25"/>
      <c r="B34" s="12"/>
      <c r="C34" s="12"/>
      <c r="D34" s="12"/>
      <c r="E34" s="12"/>
      <c r="F34" s="1"/>
      <c r="G34" s="12"/>
      <c r="H34" s="1"/>
      <c r="AG34" s="25"/>
    </row>
    <row r="35" spans="1:33" ht="15" thickBot="1" x14ac:dyDescent="0.35"/>
    <row r="36" spans="1:33" ht="15" thickBot="1" x14ac:dyDescent="0.35">
      <c r="A36" s="25"/>
      <c r="B36" s="12"/>
      <c r="C36" s="12"/>
      <c r="D36" s="12"/>
      <c r="E36" s="12"/>
      <c r="F36" s="1"/>
      <c r="G36" s="12"/>
      <c r="H36" s="1"/>
      <c r="AG36" s="25"/>
    </row>
    <row r="37" spans="1:33" ht="15" thickBot="1" x14ac:dyDescent="0.35"/>
    <row r="38" spans="1:33" ht="15" thickBot="1" x14ac:dyDescent="0.35">
      <c r="A38" s="25"/>
      <c r="B38" s="12"/>
      <c r="C38" s="12"/>
      <c r="D38" s="12"/>
      <c r="E38" s="12"/>
      <c r="F38" s="1"/>
      <c r="G38" s="12"/>
      <c r="H38" s="1"/>
      <c r="AG38" s="25"/>
    </row>
    <row r="52" spans="1:33" ht="15" thickBot="1" x14ac:dyDescent="0.35"/>
    <row r="53" spans="1:33" ht="15" thickBot="1" x14ac:dyDescent="0.35">
      <c r="A53" s="25"/>
      <c r="B53" s="12"/>
      <c r="C53" s="12"/>
      <c r="D53" s="12"/>
      <c r="E53" s="12"/>
      <c r="F53" s="1"/>
      <c r="G53" s="12"/>
      <c r="H53" s="1"/>
      <c r="AG53" s="25"/>
    </row>
    <row r="54" spans="1:33" ht="15" thickBot="1" x14ac:dyDescent="0.35">
      <c r="A54" s="25"/>
      <c r="B54" s="12"/>
      <c r="C54" s="12"/>
      <c r="D54" s="12"/>
      <c r="E54" s="12"/>
      <c r="F54" s="1"/>
      <c r="G54" s="12"/>
      <c r="H54" s="1"/>
      <c r="AG54" s="25"/>
    </row>
    <row r="55" spans="1:33" ht="15" thickBot="1" x14ac:dyDescent="0.35">
      <c r="A55" s="25"/>
      <c r="B55" s="12"/>
      <c r="C55" s="12"/>
      <c r="D55" s="12"/>
      <c r="E55" s="12"/>
      <c r="F55" s="1"/>
      <c r="G55" s="12"/>
      <c r="H55" s="1"/>
      <c r="AG55" s="25"/>
    </row>
    <row r="56" spans="1:33" ht="15" thickBot="1" x14ac:dyDescent="0.35">
      <c r="A56" s="25"/>
      <c r="B56" s="12"/>
      <c r="C56" s="12"/>
      <c r="D56" s="12"/>
      <c r="E56" s="12"/>
      <c r="F56" s="1"/>
      <c r="G56" s="12"/>
      <c r="H56" s="1"/>
      <c r="AG56" s="25"/>
    </row>
    <row r="57" spans="1:33" ht="15" thickBot="1" x14ac:dyDescent="0.35">
      <c r="A57" s="25"/>
      <c r="B57" s="12"/>
      <c r="C57" s="12"/>
      <c r="D57" s="12"/>
      <c r="E57" s="12"/>
      <c r="F57" s="1"/>
      <c r="G57" s="12"/>
      <c r="H57" s="1"/>
      <c r="AG57" s="25"/>
    </row>
    <row r="58" spans="1:33" ht="15" thickBot="1" x14ac:dyDescent="0.35">
      <c r="A58" s="25"/>
      <c r="B58" s="12"/>
      <c r="C58" s="12"/>
      <c r="D58" s="12"/>
      <c r="E58" s="12"/>
      <c r="F58" s="1"/>
      <c r="G58" s="12"/>
      <c r="H58" s="1"/>
      <c r="AG58" s="25"/>
    </row>
    <row r="59" spans="1:33" ht="15" thickBot="1" x14ac:dyDescent="0.35">
      <c r="A59" s="30"/>
      <c r="B59" s="20"/>
      <c r="C59" s="17"/>
      <c r="D59" s="17"/>
      <c r="E59" s="17"/>
      <c r="F59" s="6"/>
      <c r="G59" s="17"/>
      <c r="H59" s="2"/>
      <c r="AG59" s="30"/>
    </row>
    <row r="60" spans="1:33" ht="15" thickBot="1" x14ac:dyDescent="0.35">
      <c r="A60" s="25"/>
      <c r="B60" s="12"/>
      <c r="C60" s="12"/>
      <c r="D60" s="12"/>
      <c r="E60" s="12"/>
      <c r="F60" s="1"/>
      <c r="G60" s="12"/>
      <c r="H60" s="1"/>
      <c r="AG60" s="25"/>
    </row>
    <row r="61" spans="1:33" ht="15" thickBot="1" x14ac:dyDescent="0.35">
      <c r="A61" s="27"/>
      <c r="B61" s="15"/>
      <c r="C61" s="15"/>
      <c r="D61" s="15"/>
      <c r="E61" s="15"/>
      <c r="F61" s="3"/>
      <c r="G61" s="15"/>
      <c r="H61" s="3"/>
      <c r="AG61" s="27"/>
    </row>
    <row r="62" spans="1:33" ht="15" thickBot="1" x14ac:dyDescent="0.35">
      <c r="A62" s="22"/>
      <c r="B62" s="12"/>
      <c r="C62" s="12"/>
      <c r="D62" s="12"/>
      <c r="E62" s="12"/>
      <c r="F62" s="1"/>
      <c r="G62" s="12"/>
      <c r="H62" s="1"/>
      <c r="AG62" s="22"/>
    </row>
    <row r="63" spans="1:33" ht="15" thickBot="1" x14ac:dyDescent="0.35">
      <c r="A63" s="25"/>
      <c r="B63" s="12"/>
      <c r="C63" s="12"/>
      <c r="D63" s="12"/>
      <c r="E63" s="12"/>
      <c r="F63" s="1"/>
      <c r="G63" s="12"/>
      <c r="H63" s="1"/>
      <c r="AG63" s="25"/>
    </row>
    <row r="64" spans="1:33" ht="15" thickBot="1" x14ac:dyDescent="0.35">
      <c r="A64" s="22"/>
      <c r="B64" s="12"/>
      <c r="C64" s="12"/>
      <c r="D64" s="12"/>
      <c r="E64" s="12"/>
      <c r="F64" s="1"/>
      <c r="G64" s="12"/>
      <c r="H64" s="1"/>
      <c r="AG64" s="22"/>
    </row>
    <row r="65" spans="1:33" ht="15" thickBot="1" x14ac:dyDescent="0.35">
      <c r="A65" s="22"/>
      <c r="B65" s="12"/>
      <c r="C65" s="12"/>
      <c r="D65" s="12"/>
      <c r="E65" s="12"/>
      <c r="F65" s="1"/>
      <c r="G65" s="12"/>
      <c r="H65" s="1"/>
      <c r="AG65" s="22"/>
    </row>
    <row r="66" spans="1:33" ht="15" thickBot="1" x14ac:dyDescent="0.35">
      <c r="A66" s="25"/>
      <c r="B66" s="12"/>
      <c r="C66" s="12"/>
      <c r="D66" s="12"/>
      <c r="E66" s="12"/>
      <c r="F66" s="1"/>
      <c r="G66" s="12"/>
      <c r="H66" s="1"/>
      <c r="AG66" s="25"/>
    </row>
    <row r="67" spans="1:33" ht="15" thickBot="1" x14ac:dyDescent="0.35"/>
    <row r="68" spans="1:33" ht="15" thickBot="1" x14ac:dyDescent="0.35">
      <c r="A68" s="25"/>
      <c r="B68" s="12"/>
      <c r="C68" s="12"/>
      <c r="D68" s="12"/>
      <c r="E68" s="12"/>
      <c r="F68" s="1"/>
      <c r="G68" s="12"/>
      <c r="H68" s="1"/>
      <c r="AG68" s="25"/>
    </row>
    <row r="69" spans="1:33" ht="15" thickBot="1" x14ac:dyDescent="0.35"/>
    <row r="70" spans="1:33" ht="15" thickBot="1" x14ac:dyDescent="0.35">
      <c r="A70" s="25"/>
      <c r="B70" s="12"/>
      <c r="C70" s="12"/>
      <c r="D70" s="12"/>
      <c r="E70" s="12"/>
      <c r="F70" s="1"/>
      <c r="G70" s="12"/>
      <c r="H70" s="1"/>
      <c r="AG70" s="25"/>
    </row>
    <row r="78" spans="1:33" ht="15" thickBot="1" x14ac:dyDescent="0.35"/>
    <row r="79" spans="1:33" ht="15" thickBot="1" x14ac:dyDescent="0.35">
      <c r="A79" s="25"/>
      <c r="B79" s="12"/>
      <c r="C79" s="12"/>
      <c r="D79" s="12"/>
      <c r="E79" s="12"/>
      <c r="F79" s="1"/>
      <c r="G79" s="12"/>
      <c r="H79" s="1"/>
      <c r="AG79" s="25"/>
    </row>
    <row r="80" spans="1:33" ht="15" thickBot="1" x14ac:dyDescent="0.35">
      <c r="A80" s="25"/>
      <c r="B80" s="12"/>
      <c r="C80" s="12"/>
      <c r="D80" s="12"/>
      <c r="E80" s="12"/>
      <c r="F80" s="1"/>
      <c r="G80" s="12"/>
      <c r="H80" s="1"/>
      <c r="AG80" s="25"/>
    </row>
    <row r="81" spans="1:33" ht="15" thickBot="1" x14ac:dyDescent="0.35">
      <c r="A81" s="25"/>
      <c r="B81" s="12"/>
      <c r="C81" s="12"/>
      <c r="D81" s="12"/>
      <c r="E81" s="12"/>
      <c r="F81" s="1"/>
      <c r="G81" s="12"/>
      <c r="H81" s="1"/>
      <c r="AG81" s="25"/>
    </row>
    <row r="82" spans="1:33" ht="15" thickBot="1" x14ac:dyDescent="0.35">
      <c r="A82" s="25"/>
      <c r="B82" s="12"/>
      <c r="C82" s="12"/>
      <c r="D82" s="12"/>
      <c r="E82" s="12"/>
      <c r="F82" s="1"/>
      <c r="G82" s="12"/>
      <c r="H82" s="1"/>
      <c r="AG82" s="25"/>
    </row>
    <row r="83" spans="1:33" ht="15" thickBot="1" x14ac:dyDescent="0.35">
      <c r="A83" s="25"/>
      <c r="B83" s="12"/>
      <c r="C83" s="12"/>
      <c r="D83" s="12"/>
      <c r="E83" s="12"/>
      <c r="F83" s="1"/>
      <c r="G83" s="12"/>
      <c r="H83" s="1"/>
      <c r="AG83" s="25"/>
    </row>
    <row r="84" spans="1:33" ht="15" thickBot="1" x14ac:dyDescent="0.35">
      <c r="A84" s="25"/>
      <c r="B84" s="12"/>
      <c r="C84" s="12"/>
      <c r="D84" s="12"/>
      <c r="E84" s="12"/>
      <c r="F84" s="1"/>
      <c r="G84" s="12"/>
      <c r="H84" s="1"/>
      <c r="AG84" s="25"/>
    </row>
    <row r="85" spans="1:33" ht="15" thickBot="1" x14ac:dyDescent="0.35">
      <c r="A85" s="27"/>
      <c r="B85" s="15"/>
      <c r="C85" s="15"/>
      <c r="D85" s="15"/>
      <c r="E85" s="15"/>
      <c r="F85" s="3"/>
      <c r="G85" s="15"/>
      <c r="H85" s="3"/>
      <c r="AG85" s="27"/>
    </row>
    <row r="86" spans="1:33" ht="15" thickBot="1" x14ac:dyDescent="0.35">
      <c r="A86" s="25"/>
      <c r="B86" s="12"/>
      <c r="C86" s="12"/>
      <c r="D86" s="12"/>
      <c r="E86" s="12"/>
      <c r="F86" s="1"/>
      <c r="G86" s="12"/>
      <c r="H86" s="1"/>
      <c r="AG86" s="25"/>
    </row>
    <row r="87" spans="1:33" ht="15" thickBot="1" x14ac:dyDescent="0.35">
      <c r="A87" s="25"/>
      <c r="B87" s="12"/>
      <c r="C87" s="12"/>
      <c r="D87" s="12"/>
      <c r="E87" s="12"/>
      <c r="F87" s="1"/>
      <c r="G87" s="12"/>
      <c r="H87" s="1"/>
      <c r="AG87" s="25"/>
    </row>
    <row r="88" spans="1:33" ht="15" thickBot="1" x14ac:dyDescent="0.35">
      <c r="A88" s="25"/>
      <c r="B88" s="12"/>
      <c r="C88" s="12"/>
      <c r="D88" s="12"/>
      <c r="E88" s="12"/>
      <c r="F88" s="1"/>
      <c r="G88" s="12"/>
      <c r="H88" s="1"/>
      <c r="AG88" s="25"/>
    </row>
    <row r="89" spans="1:33" ht="15" thickBot="1" x14ac:dyDescent="0.35">
      <c r="A89" s="25"/>
      <c r="B89" s="12"/>
      <c r="C89" s="12"/>
      <c r="D89" s="12"/>
      <c r="E89" s="12"/>
      <c r="F89" s="1"/>
      <c r="G89" s="12"/>
      <c r="H89" s="1"/>
      <c r="AG89" s="25"/>
    </row>
    <row r="90" spans="1:33" ht="15" thickBot="1" x14ac:dyDescent="0.35">
      <c r="A90" s="25"/>
      <c r="B90" s="12"/>
      <c r="C90" s="12"/>
      <c r="D90" s="12"/>
      <c r="E90" s="12"/>
      <c r="F90" s="1"/>
      <c r="G90" s="12"/>
      <c r="H90" s="1"/>
      <c r="AG90" s="25"/>
    </row>
    <row r="91" spans="1:33" ht="15" thickBot="1" x14ac:dyDescent="0.35">
      <c r="A91" s="25"/>
      <c r="B91" s="12"/>
      <c r="C91" s="12"/>
      <c r="D91" s="12"/>
      <c r="E91" s="12"/>
      <c r="F91" s="1"/>
      <c r="G91" s="12"/>
      <c r="H91" s="1"/>
      <c r="AG91" s="25"/>
    </row>
    <row r="92" spans="1:33" ht="15" thickBot="1" x14ac:dyDescent="0.35">
      <c r="A92" s="25"/>
      <c r="B92" s="12"/>
      <c r="C92" s="12"/>
      <c r="D92" s="12"/>
      <c r="E92" s="12"/>
      <c r="F92" s="1"/>
      <c r="G92" s="12"/>
      <c r="H92" s="1"/>
      <c r="AG92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N10" sqref="N10"/>
    </sheetView>
  </sheetViews>
  <sheetFormatPr defaultRowHeight="14.4" x14ac:dyDescent="0.3"/>
  <cols>
    <col min="1" max="1" width="22" customWidth="1"/>
    <col min="2" max="2" width="10.44140625" customWidth="1"/>
  </cols>
  <sheetData>
    <row r="1" spans="1:26" ht="57.6" x14ac:dyDescent="0.3">
      <c r="A1" s="40"/>
      <c r="B1" s="40" t="s">
        <v>26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x14ac:dyDescent="0.3">
      <c r="A2" s="37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0.15992343761409572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0.15025829278984329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4.2166537344989E-2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5.9383342278211161E-2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-0.12267314111773217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-2.8641581172009673E-2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-0.22193976735434887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4.1972465241212918E-2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-0.37567790773580262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0.24644515440879181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0.13383536843381469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0.22756331053381623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0.1593453265136443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-3.7477614835347375E-3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-0.36687829761961877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0.21070818536426603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-7.9908962325370508E-2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-8.777164973530989E-3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9.5004091094548562E-2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3.42711976983597E-2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-0.27560410211178876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0.20710015570942883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-0.24087627122650321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-3.8623465569234877E-2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6" workbookViewId="0">
      <selection activeCell="B2" sqref="B2:Z26"/>
    </sheetView>
  </sheetViews>
  <sheetFormatPr defaultRowHeight="14.4" x14ac:dyDescent="0.3"/>
  <cols>
    <col min="1" max="1" width="22.5546875" customWidth="1"/>
  </cols>
  <sheetData>
    <row r="1" spans="1:26" ht="72" x14ac:dyDescent="0.3">
      <c r="A1" s="40"/>
      <c r="B1" s="40" t="s">
        <v>24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ht="28.8" x14ac:dyDescent="0.3">
      <c r="A2" s="56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0.16228508867004246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0.1508288030982326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0.13595521125940646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-7.6718232692574898E-2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-0.18800781633661878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0.11942152157251615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8.3567558592339344E-2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-1.2006527598171371E-2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0.15924555459786788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-0.1350511750021362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-6.12558707363298E-2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-0.14974327549796773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-0.36753419963948697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-7.3140942025553712E-2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-0.35133246785629124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6.1731634148548042E-2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-0.22323685418574868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0.23777951653413676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-0.36712623651108572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-0.15146476940742643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-0.17656389215732618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-0.10386342078169265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-0.3255728582779055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-7.7839805896402478E-2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B1" workbookViewId="0">
      <selection activeCell="B1" sqref="B1:N1"/>
    </sheetView>
  </sheetViews>
  <sheetFormatPr defaultRowHeight="14.4" x14ac:dyDescent="0.3"/>
  <cols>
    <col min="1" max="1" width="22.44140625" customWidth="1"/>
    <col min="2" max="2" width="15.5546875" customWidth="1"/>
    <col min="3" max="3" width="13.109375" customWidth="1"/>
    <col min="4" max="4" width="13.44140625" customWidth="1"/>
    <col min="5" max="5" width="14" customWidth="1"/>
    <col min="6" max="6" width="11.6640625" customWidth="1"/>
    <col min="7" max="7" width="13.88671875" customWidth="1"/>
    <col min="8" max="8" width="16.33203125" customWidth="1"/>
    <col min="9" max="9" width="12.33203125" customWidth="1"/>
    <col min="10" max="10" width="10.6640625" customWidth="1"/>
    <col min="12" max="12" width="10.6640625" customWidth="1"/>
  </cols>
  <sheetData>
    <row r="1" spans="1:14" ht="43.2" x14ac:dyDescent="0.3">
      <c r="A1" s="39"/>
      <c r="B1" s="40" t="s">
        <v>24</v>
      </c>
      <c r="C1" s="40" t="s">
        <v>27</v>
      </c>
      <c r="D1" s="40" t="s">
        <v>28</v>
      </c>
      <c r="E1" s="40" t="s">
        <v>29</v>
      </c>
      <c r="F1" s="40" t="s">
        <v>32</v>
      </c>
      <c r="G1" s="40" t="s">
        <v>33</v>
      </c>
      <c r="H1" s="40" t="s">
        <v>30</v>
      </c>
      <c r="I1" s="40" t="s">
        <v>31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</row>
    <row r="2" spans="1:14" ht="28.8" x14ac:dyDescent="0.3">
      <c r="A2" s="51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3">
      <c r="A3" s="37" t="s">
        <v>27</v>
      </c>
      <c r="B3" s="37">
        <v>0.16228508867004246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3">
      <c r="A4" s="37" t="s">
        <v>28</v>
      </c>
      <c r="B4" s="37">
        <v>0.1508288030982326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3">
      <c r="A5" s="37" t="s">
        <v>29</v>
      </c>
      <c r="B5" s="37">
        <v>0.13595521125940646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</row>
    <row r="6" spans="1:14" x14ac:dyDescent="0.3">
      <c r="A6" s="37" t="s">
        <v>32</v>
      </c>
      <c r="B6" s="37">
        <v>-7.6718232692574898E-2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37" t="s">
        <v>33</v>
      </c>
      <c r="B7" s="37">
        <v>-0.18800781633661878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</row>
    <row r="8" spans="1:14" x14ac:dyDescent="0.3">
      <c r="A8" s="37" t="s">
        <v>30</v>
      </c>
      <c r="B8" s="37">
        <v>0.11942152157251615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</row>
    <row r="9" spans="1:14" x14ac:dyDescent="0.3">
      <c r="A9" s="37" t="s">
        <v>31</v>
      </c>
      <c r="B9" s="37">
        <v>8.3567558592339344E-2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</row>
    <row r="10" spans="1:14" x14ac:dyDescent="0.3">
      <c r="A10" s="37" t="s">
        <v>34</v>
      </c>
      <c r="B10" s="37">
        <v>-1.2006527598171371E-2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</row>
    <row r="11" spans="1:14" x14ac:dyDescent="0.3">
      <c r="A11" s="37" t="s">
        <v>35</v>
      </c>
      <c r="B11" s="37">
        <v>0.15924555459786788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</row>
    <row r="12" spans="1:14" x14ac:dyDescent="0.3">
      <c r="A12" s="37" t="s">
        <v>36</v>
      </c>
      <c r="B12" s="37">
        <v>-0.1350511750021362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</row>
    <row r="13" spans="1:14" x14ac:dyDescent="0.3">
      <c r="A13" s="37" t="s">
        <v>37</v>
      </c>
      <c r="B13" s="37">
        <v>-6.12558707363298E-2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</row>
    <row r="14" spans="1:14" ht="15" thickBot="1" x14ac:dyDescent="0.35">
      <c r="A14" s="38" t="s">
        <v>39</v>
      </c>
      <c r="B14" s="38">
        <v>-0.14974327549796773</v>
      </c>
      <c r="C14" s="38">
        <v>-0.22572288160654835</v>
      </c>
      <c r="D14" s="38">
        <v>-0.19231527689871192</v>
      </c>
      <c r="E14" s="38">
        <v>-0.32962840228203139</v>
      </c>
      <c r="F14" s="38">
        <v>0.36548694849220581</v>
      </c>
      <c r="G14" s="38">
        <v>0.37367249885680659</v>
      </c>
      <c r="H14" s="38">
        <v>-7.8246149503435961E-3</v>
      </c>
      <c r="I14" s="38">
        <v>-0.27375586166701671</v>
      </c>
      <c r="J14" s="38">
        <v>-0.46681799518078498</v>
      </c>
      <c r="K14" s="38">
        <v>-0.58518308399935604</v>
      </c>
      <c r="L14" s="38">
        <v>0.39492007958188924</v>
      </c>
      <c r="M14" s="38">
        <v>0.72479179737257982</v>
      </c>
      <c r="N14" s="38">
        <v>1</v>
      </c>
    </row>
  </sheetData>
  <conditionalFormatting sqref="B2:N14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A4" workbookViewId="0">
      <selection activeCell="H12" sqref="H12"/>
    </sheetView>
  </sheetViews>
  <sheetFormatPr defaultRowHeight="14.4" x14ac:dyDescent="0.3"/>
  <cols>
    <col min="1" max="1" width="22.5546875" customWidth="1"/>
    <col min="2" max="2" width="10.44140625" customWidth="1"/>
    <col min="9" max="9" width="11.33203125" customWidth="1"/>
    <col min="12" max="12" width="10.88671875" customWidth="1"/>
  </cols>
  <sheetData>
    <row r="1" spans="1:14" ht="43.2" x14ac:dyDescent="0.3">
      <c r="A1" s="39"/>
      <c r="B1" s="40" t="s">
        <v>26</v>
      </c>
      <c r="C1" s="40" t="s">
        <v>27</v>
      </c>
      <c r="D1" s="40" t="s">
        <v>28</v>
      </c>
      <c r="E1" s="40" t="s">
        <v>29</v>
      </c>
      <c r="F1" s="40" t="s">
        <v>32</v>
      </c>
      <c r="G1" s="40" t="s">
        <v>33</v>
      </c>
      <c r="H1" s="40" t="s">
        <v>30</v>
      </c>
      <c r="I1" s="40" t="s">
        <v>31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</row>
    <row r="2" spans="1:14" x14ac:dyDescent="0.3">
      <c r="A2" s="51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3">
      <c r="A3" s="37" t="s">
        <v>27</v>
      </c>
      <c r="B3" s="37">
        <v>0.15992343761409572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3">
      <c r="A4" s="37" t="s">
        <v>28</v>
      </c>
      <c r="B4" s="37">
        <v>0.15025829278984329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3">
      <c r="A5" s="37" t="s">
        <v>29</v>
      </c>
      <c r="B5" s="37">
        <v>4.2166537344989E-2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</row>
    <row r="6" spans="1:14" x14ac:dyDescent="0.3">
      <c r="A6" s="37" t="s">
        <v>32</v>
      </c>
      <c r="B6" s="37">
        <v>5.9383342278211161E-2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37" t="s">
        <v>33</v>
      </c>
      <c r="B7" s="37">
        <v>-0.12267314111773217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</row>
    <row r="8" spans="1:14" x14ac:dyDescent="0.3">
      <c r="A8" s="37" t="s">
        <v>30</v>
      </c>
      <c r="B8" s="37">
        <v>-2.8641581172009673E-2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</row>
    <row r="9" spans="1:14" x14ac:dyDescent="0.3">
      <c r="A9" s="37" t="s">
        <v>31</v>
      </c>
      <c r="B9" s="37">
        <v>-0.22193976735434887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</row>
    <row r="10" spans="1:14" x14ac:dyDescent="0.3">
      <c r="A10" s="37" t="s">
        <v>34</v>
      </c>
      <c r="B10" s="37">
        <v>4.1972465241212918E-2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</row>
    <row r="11" spans="1:14" x14ac:dyDescent="0.3">
      <c r="A11" s="37" t="s">
        <v>35</v>
      </c>
      <c r="B11" s="37">
        <v>-0.37567790773580262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</row>
    <row r="12" spans="1:14" x14ac:dyDescent="0.3">
      <c r="A12" s="37" t="s">
        <v>36</v>
      </c>
      <c r="B12" s="37">
        <v>0.24644515440879181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</row>
    <row r="13" spans="1:14" x14ac:dyDescent="0.3">
      <c r="A13" s="37" t="s">
        <v>37</v>
      </c>
      <c r="B13" s="37">
        <v>0.13383536843381469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</row>
    <row r="14" spans="1:14" ht="15" thickBot="1" x14ac:dyDescent="0.35">
      <c r="A14" s="38" t="s">
        <v>39</v>
      </c>
      <c r="B14" s="38">
        <v>0.22756331053381623</v>
      </c>
      <c r="C14" s="38">
        <v>-0.22572288160654835</v>
      </c>
      <c r="D14" s="38">
        <v>-0.19231527689871192</v>
      </c>
      <c r="E14" s="38">
        <v>-0.32962840228203139</v>
      </c>
      <c r="F14" s="38">
        <v>0.36548694849220581</v>
      </c>
      <c r="G14" s="38">
        <v>0.37367249885680659</v>
      </c>
      <c r="H14" s="38">
        <v>-7.8246149503435961E-3</v>
      </c>
      <c r="I14" s="38">
        <v>-0.27375586166701671</v>
      </c>
      <c r="J14" s="38">
        <v>-0.46681799518078498</v>
      </c>
      <c r="K14" s="38">
        <v>-0.58518308399935604</v>
      </c>
      <c r="L14" s="38">
        <v>0.39492007958188924</v>
      </c>
      <c r="M14" s="38">
        <v>0.72479179737257982</v>
      </c>
      <c r="N14" s="38">
        <v>1</v>
      </c>
    </row>
  </sheetData>
  <conditionalFormatting sqref="B2:N14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9"/>
  <sheetViews>
    <sheetView topLeftCell="T1" workbookViewId="0">
      <selection sqref="A1:AG1048576"/>
    </sheetView>
  </sheetViews>
  <sheetFormatPr defaultRowHeight="14.4" x14ac:dyDescent="0.3"/>
  <cols>
    <col min="4" max="4" width="12.44140625" customWidth="1"/>
    <col min="5" max="5" width="10" customWidth="1"/>
    <col min="6" max="6" width="10.44140625" customWidth="1"/>
    <col min="7" max="7" width="10.109375" customWidth="1"/>
    <col min="8" max="8" width="10.33203125" customWidth="1"/>
    <col min="9" max="9" width="13.5546875" customWidth="1"/>
    <col min="10" max="16" width="9.109375" style="68"/>
    <col min="17" max="20" width="9.109375" style="10"/>
    <col min="21" max="21" width="9.109375" style="68"/>
    <col min="22" max="22" width="8.109375" style="67" customWidth="1"/>
    <col min="23" max="23" width="10.33203125" style="67" customWidth="1"/>
    <col min="24" max="24" width="8.33203125" style="67" customWidth="1"/>
    <col min="25" max="31" width="9.109375" style="67"/>
    <col min="32" max="32" width="9.44140625" style="67" customWidth="1"/>
    <col min="33" max="33" width="9.109375" style="67"/>
    <col min="34" max="34" width="10.6640625" style="29" customWidth="1"/>
  </cols>
  <sheetData>
    <row r="1" spans="1:33" ht="40.799999999999997" thickBot="1" x14ac:dyDescent="0.35">
      <c r="A1" s="69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9" t="s">
        <v>81</v>
      </c>
      <c r="Q1" s="9" t="s">
        <v>82</v>
      </c>
      <c r="R1" s="9" t="s">
        <v>36</v>
      </c>
      <c r="S1" s="9" t="s">
        <v>83</v>
      </c>
      <c r="T1" s="9" t="s">
        <v>39</v>
      </c>
      <c r="U1" s="52" t="s">
        <v>62</v>
      </c>
      <c r="V1" s="52" t="s">
        <v>63</v>
      </c>
      <c r="W1" s="52" t="s">
        <v>64</v>
      </c>
      <c r="X1" s="52" t="s">
        <v>65</v>
      </c>
      <c r="Y1" s="52" t="s">
        <v>66</v>
      </c>
      <c r="Z1" s="52" t="s">
        <v>67</v>
      </c>
      <c r="AA1" s="55" t="s">
        <v>68</v>
      </c>
      <c r="AB1" s="55" t="s">
        <v>69</v>
      </c>
      <c r="AC1" s="55" t="s">
        <v>70</v>
      </c>
      <c r="AD1" s="55" t="s">
        <v>71</v>
      </c>
      <c r="AE1" s="55" t="s">
        <v>72</v>
      </c>
      <c r="AF1" s="55" t="s">
        <v>73</v>
      </c>
      <c r="AG1" s="21" t="s">
        <v>19</v>
      </c>
    </row>
    <row r="2" spans="1:33" ht="40.799999999999997" thickBot="1" x14ac:dyDescent="0.35">
      <c r="A2" s="58" t="s">
        <v>0</v>
      </c>
      <c r="B2" s="2" t="s">
        <v>61</v>
      </c>
      <c r="C2" s="6">
        <v>31.87</v>
      </c>
      <c r="D2" s="6">
        <v>31.87</v>
      </c>
      <c r="E2" s="6">
        <v>3.8000000000000002E-4</v>
      </c>
      <c r="F2" s="6">
        <v>9.1700800000000005</v>
      </c>
      <c r="G2" s="6">
        <v>1.7416700000000001</v>
      </c>
      <c r="H2" s="2">
        <v>9.1700800000000005</v>
      </c>
      <c r="I2" s="64">
        <v>0</v>
      </c>
      <c r="J2" s="64">
        <v>0</v>
      </c>
      <c r="K2" s="64">
        <v>0</v>
      </c>
      <c r="L2" s="64">
        <v>0</v>
      </c>
      <c r="M2" s="64">
        <v>0</v>
      </c>
      <c r="N2" s="64">
        <v>0</v>
      </c>
      <c r="O2" s="64">
        <v>0</v>
      </c>
      <c r="P2" s="43">
        <v>57</v>
      </c>
      <c r="Q2" s="43">
        <v>3</v>
      </c>
      <c r="R2" s="43">
        <v>0.82</v>
      </c>
      <c r="S2" s="43">
        <v>0.04</v>
      </c>
      <c r="T2" s="43">
        <v>56</v>
      </c>
      <c r="U2" s="65">
        <f>(243+518)/2</f>
        <v>380.5</v>
      </c>
      <c r="V2" s="65">
        <f>(2657+179+219)/7</f>
        <v>436.42857142857144</v>
      </c>
      <c r="W2" s="65">
        <v>0</v>
      </c>
      <c r="X2" s="65">
        <f>(463+288+337+238+390+446)/6</f>
        <v>360.33333333333331</v>
      </c>
      <c r="Y2" s="65">
        <v>0</v>
      </c>
      <c r="Z2" s="65">
        <f>1254/2</f>
        <v>627</v>
      </c>
      <c r="AA2" s="66">
        <v>1</v>
      </c>
      <c r="AB2" s="66">
        <v>0</v>
      </c>
      <c r="AC2" s="66">
        <v>1</v>
      </c>
      <c r="AD2" s="66">
        <v>1</v>
      </c>
      <c r="AE2" s="66">
        <v>0</v>
      </c>
      <c r="AF2" s="66">
        <v>1</v>
      </c>
      <c r="AG2" s="22" t="s">
        <v>0</v>
      </c>
    </row>
    <row r="3" spans="1:33" ht="40.799999999999997" thickBot="1" x14ac:dyDescent="0.35">
      <c r="A3" s="57" t="s">
        <v>1</v>
      </c>
      <c r="B3" s="1" t="s">
        <v>61</v>
      </c>
      <c r="C3" s="1">
        <v>24.15</v>
      </c>
      <c r="D3" s="1">
        <v>24.15</v>
      </c>
      <c r="E3" s="1">
        <v>8.0680000000000002E-2</v>
      </c>
      <c r="F3" s="1">
        <v>1.08704</v>
      </c>
      <c r="G3" s="1">
        <v>2.068E-2</v>
      </c>
      <c r="H3" s="1">
        <v>1.08704</v>
      </c>
      <c r="I3" s="64">
        <v>12</v>
      </c>
      <c r="J3" s="64">
        <v>6</v>
      </c>
      <c r="K3" s="64">
        <v>3</v>
      </c>
      <c r="L3" s="64">
        <v>1</v>
      </c>
      <c r="M3" s="64">
        <v>173.8</v>
      </c>
      <c r="N3" s="64">
        <v>54</v>
      </c>
      <c r="O3" s="64">
        <v>54</v>
      </c>
      <c r="P3" s="43">
        <v>32</v>
      </c>
      <c r="Q3" s="43">
        <v>7</v>
      </c>
      <c r="R3" s="43">
        <v>1.1200000000000001</v>
      </c>
      <c r="S3" s="43">
        <v>0.25</v>
      </c>
      <c r="T3" s="43">
        <v>94</v>
      </c>
      <c r="U3" s="65">
        <v>1000</v>
      </c>
      <c r="V3" s="65">
        <f>(195+335+343+391+370)/7</f>
        <v>233.42857142857142</v>
      </c>
      <c r="W3" s="65">
        <f>(491+137)/2</f>
        <v>314</v>
      </c>
      <c r="X3" s="65">
        <f>(277+201+367+144+412+370)/6</f>
        <v>295.16666666666669</v>
      </c>
      <c r="Y3" s="65">
        <f>370*2/3</f>
        <v>246.66666666666666</v>
      </c>
      <c r="Z3" s="67">
        <f>1630/2</f>
        <v>815</v>
      </c>
      <c r="AA3" s="66">
        <v>2</v>
      </c>
      <c r="AB3" s="66">
        <v>1</v>
      </c>
      <c r="AC3" s="66">
        <v>2</v>
      </c>
      <c r="AD3" s="66">
        <v>2</v>
      </c>
      <c r="AE3" s="66">
        <v>1</v>
      </c>
      <c r="AF3" s="66">
        <v>6</v>
      </c>
      <c r="AG3" s="23" t="s">
        <v>44</v>
      </c>
    </row>
    <row r="4" spans="1:33" ht="40.799999999999997" thickBot="1" x14ac:dyDescent="0.35">
      <c r="A4" s="57" t="s">
        <v>2</v>
      </c>
      <c r="B4" s="1" t="s">
        <v>61</v>
      </c>
      <c r="C4" s="1">
        <v>19.27</v>
      </c>
      <c r="D4" s="1">
        <v>19.27</v>
      </c>
      <c r="E4" s="1">
        <v>2.37513</v>
      </c>
      <c r="F4" s="1">
        <v>1.5631900000000001</v>
      </c>
      <c r="G4" s="1">
        <v>2.6460000000000001E-2</v>
      </c>
      <c r="H4" s="1">
        <v>1.5631900000000001</v>
      </c>
      <c r="I4" s="64">
        <v>27</v>
      </c>
      <c r="J4" s="64">
        <v>23</v>
      </c>
      <c r="K4" s="64">
        <v>15</v>
      </c>
      <c r="L4" s="64">
        <v>2</v>
      </c>
      <c r="M4" s="64">
        <v>137.6</v>
      </c>
      <c r="N4" s="64">
        <v>53.8</v>
      </c>
      <c r="O4" s="64">
        <v>53.8</v>
      </c>
      <c r="P4" s="43">
        <v>57</v>
      </c>
      <c r="Q4" s="43">
        <v>3</v>
      </c>
      <c r="R4" s="43">
        <v>0.82</v>
      </c>
      <c r="S4" s="43">
        <v>0.04</v>
      </c>
      <c r="T4" s="43">
        <v>56</v>
      </c>
      <c r="U4" s="65">
        <v>1000</v>
      </c>
      <c r="V4" s="65">
        <f>(807+559+954+758+649+689+617)/7</f>
        <v>719</v>
      </c>
      <c r="W4" s="65">
        <f>384/2</f>
        <v>192</v>
      </c>
      <c r="X4" s="65">
        <v>0</v>
      </c>
      <c r="Y4" s="65">
        <f>2423/3</f>
        <v>807.66666666666663</v>
      </c>
      <c r="Z4" s="65">
        <f>1423/2</f>
        <v>711.5</v>
      </c>
      <c r="AA4" s="66">
        <v>2</v>
      </c>
      <c r="AB4" s="66">
        <v>2</v>
      </c>
      <c r="AC4" s="66">
        <v>1</v>
      </c>
      <c r="AD4" s="66">
        <v>0</v>
      </c>
      <c r="AE4" s="66">
        <v>1</v>
      </c>
      <c r="AF4" s="66">
        <v>1</v>
      </c>
      <c r="AG4" s="22" t="s">
        <v>2</v>
      </c>
    </row>
    <row r="5" spans="1:33" ht="40.799999999999997" thickBot="1" x14ac:dyDescent="0.35">
      <c r="A5" s="57" t="s">
        <v>3</v>
      </c>
      <c r="B5" s="1" t="s">
        <v>61</v>
      </c>
      <c r="C5" s="1">
        <v>28.44</v>
      </c>
      <c r="D5" s="1">
        <v>28.44</v>
      </c>
      <c r="E5" s="1">
        <v>4.15E-3</v>
      </c>
      <c r="F5" s="1">
        <v>0.80305000000000004</v>
      </c>
      <c r="G5" s="1">
        <v>2.2839999999999999E-2</v>
      </c>
      <c r="H5" s="1">
        <v>-1.24525</v>
      </c>
      <c r="I5" s="64">
        <v>22</v>
      </c>
      <c r="J5" s="64">
        <v>6</v>
      </c>
      <c r="K5" s="64">
        <v>3</v>
      </c>
      <c r="L5" s="64">
        <v>1</v>
      </c>
      <c r="M5" s="64">
        <v>181</v>
      </c>
      <c r="N5" s="64">
        <v>49</v>
      </c>
      <c r="O5" s="64">
        <v>49</v>
      </c>
      <c r="P5" s="43">
        <v>32</v>
      </c>
      <c r="Q5" s="43">
        <v>7</v>
      </c>
      <c r="R5" s="43">
        <v>1.1200000000000001</v>
      </c>
      <c r="S5" s="43">
        <v>0.25</v>
      </c>
      <c r="T5" s="47">
        <v>94</v>
      </c>
      <c r="U5" s="65">
        <f>(281+485)/2</f>
        <v>383</v>
      </c>
      <c r="V5" s="65">
        <f>6401/7</f>
        <v>914.42857142857144</v>
      </c>
      <c r="W5" s="65">
        <v>707</v>
      </c>
      <c r="X5" s="65">
        <f>(828+598+597+496+666+1000)/6</f>
        <v>697.5</v>
      </c>
      <c r="Y5" s="65">
        <f>243/3</f>
        <v>81</v>
      </c>
      <c r="Z5" s="65">
        <f>1895/2</f>
        <v>947.5</v>
      </c>
      <c r="AA5" s="66">
        <v>1</v>
      </c>
      <c r="AB5" s="66">
        <v>1</v>
      </c>
      <c r="AC5" s="66">
        <v>1</v>
      </c>
      <c r="AD5" s="66">
        <v>1</v>
      </c>
      <c r="AE5" s="66">
        <v>0</v>
      </c>
      <c r="AF5" s="66">
        <v>2</v>
      </c>
      <c r="AG5" s="22" t="s">
        <v>3</v>
      </c>
    </row>
    <row r="6" spans="1:33" ht="40.799999999999997" thickBot="1" x14ac:dyDescent="0.35">
      <c r="A6" s="58" t="s">
        <v>4</v>
      </c>
      <c r="B6" s="2" t="s">
        <v>61</v>
      </c>
      <c r="C6" s="6">
        <v>33.159999999999997</v>
      </c>
      <c r="D6" s="6">
        <v>33.159999999999997</v>
      </c>
      <c r="E6" s="6">
        <v>1.6000000000000001E-4</v>
      </c>
      <c r="F6" s="6">
        <v>12.292249999999999</v>
      </c>
      <c r="G6" s="6">
        <v>1.66709</v>
      </c>
      <c r="H6" s="2">
        <v>12.292249999999999</v>
      </c>
      <c r="I6" s="64">
        <v>11</v>
      </c>
      <c r="J6" s="64">
        <v>3</v>
      </c>
      <c r="K6" s="64">
        <v>2</v>
      </c>
      <c r="L6" s="64">
        <v>1</v>
      </c>
      <c r="M6" s="64">
        <v>133.4</v>
      </c>
      <c r="N6" s="64">
        <v>53.7</v>
      </c>
      <c r="O6" s="64">
        <v>53.7</v>
      </c>
      <c r="P6" s="43">
        <v>26</v>
      </c>
      <c r="Q6" s="43">
        <v>10</v>
      </c>
      <c r="R6" s="43">
        <v>0.41</v>
      </c>
      <c r="S6" s="43">
        <v>0.16</v>
      </c>
      <c r="T6" s="47">
        <v>80</v>
      </c>
      <c r="U6" s="65">
        <v>0</v>
      </c>
      <c r="V6" s="65">
        <f>(347+435+604+345+401+460)/7</f>
        <v>370.28571428571428</v>
      </c>
      <c r="W6" s="65">
        <f>115/2</f>
        <v>57.5</v>
      </c>
      <c r="X6" s="65">
        <v>0</v>
      </c>
      <c r="Y6" s="65">
        <v>0</v>
      </c>
      <c r="Z6" s="65">
        <f>1847/2</f>
        <v>923.5</v>
      </c>
      <c r="AA6" s="66">
        <v>0</v>
      </c>
      <c r="AB6" s="66">
        <v>1</v>
      </c>
      <c r="AC6" s="66">
        <v>1</v>
      </c>
      <c r="AD6" s="66">
        <v>0</v>
      </c>
      <c r="AE6" s="66">
        <v>0</v>
      </c>
      <c r="AF6" s="66">
        <v>2</v>
      </c>
      <c r="AG6" s="22" t="s">
        <v>4</v>
      </c>
    </row>
    <row r="7" spans="1:33" ht="40.799999999999997" thickBot="1" x14ac:dyDescent="0.35">
      <c r="A7" s="59" t="s">
        <v>5</v>
      </c>
      <c r="B7" s="3" t="s">
        <v>61</v>
      </c>
      <c r="C7" s="3">
        <v>26.05</v>
      </c>
      <c r="D7" s="3">
        <v>26.05</v>
      </c>
      <c r="E7" s="3">
        <v>2.1739999999999999E-2</v>
      </c>
      <c r="F7" s="3">
        <v>1.7115100000000001</v>
      </c>
      <c r="G7" s="3">
        <v>3.7359999999999997E-2</v>
      </c>
      <c r="H7" s="3">
        <v>1.7115100000000001</v>
      </c>
      <c r="I7" s="64">
        <v>2</v>
      </c>
      <c r="J7" s="64">
        <v>1</v>
      </c>
      <c r="K7" s="64">
        <v>1</v>
      </c>
      <c r="L7" s="64">
        <v>1</v>
      </c>
      <c r="M7" s="64">
        <v>160</v>
      </c>
      <c r="N7" s="64">
        <v>46.8</v>
      </c>
      <c r="O7" s="64">
        <v>46.8</v>
      </c>
      <c r="P7" s="43">
        <v>26</v>
      </c>
      <c r="Q7" s="43">
        <v>10</v>
      </c>
      <c r="R7" s="43">
        <v>0.41</v>
      </c>
      <c r="S7" s="43">
        <v>0.16</v>
      </c>
      <c r="T7" s="47">
        <v>80</v>
      </c>
      <c r="U7" s="67">
        <f>(224+370)/2</f>
        <v>297</v>
      </c>
      <c r="V7" s="65">
        <f>(314+486+586+951+430+364+370)/7</f>
        <v>500.14285714285717</v>
      </c>
      <c r="W7" s="65">
        <f>(955+459)/2</f>
        <v>707</v>
      </c>
      <c r="X7" s="65">
        <v>0</v>
      </c>
      <c r="Y7" s="65">
        <f>(191+370+370)/3</f>
        <v>310.33333333333331</v>
      </c>
      <c r="Z7" s="65">
        <f>1436/2</f>
        <v>718</v>
      </c>
      <c r="AA7" s="66">
        <v>1</v>
      </c>
      <c r="AB7" s="66">
        <v>1</v>
      </c>
      <c r="AC7" s="66">
        <v>2</v>
      </c>
      <c r="AD7" s="66">
        <v>0</v>
      </c>
      <c r="AE7" s="66">
        <v>1</v>
      </c>
      <c r="AF7" s="66">
        <v>2</v>
      </c>
      <c r="AG7" s="24" t="s">
        <v>5</v>
      </c>
    </row>
    <row r="8" spans="1:33" ht="40.799999999999997" thickBot="1" x14ac:dyDescent="0.35">
      <c r="A8" s="2" t="s">
        <v>6</v>
      </c>
      <c r="B8" s="2" t="s">
        <v>61</v>
      </c>
      <c r="C8" s="6">
        <v>28.02</v>
      </c>
      <c r="D8" s="6">
        <v>28.02</v>
      </c>
      <c r="E8" s="6">
        <v>8.6800000000000002E-3</v>
      </c>
      <c r="F8" s="6">
        <v>5.7555399999999999</v>
      </c>
      <c r="G8" s="6">
        <v>1.0556099999999999</v>
      </c>
      <c r="H8" s="2">
        <v>5.7555399999999999</v>
      </c>
      <c r="I8" s="64">
        <v>2</v>
      </c>
      <c r="J8" s="64">
        <v>3</v>
      </c>
      <c r="K8" s="64">
        <v>0</v>
      </c>
      <c r="L8" s="64">
        <v>1</v>
      </c>
      <c r="M8" s="64">
        <v>51</v>
      </c>
      <c r="N8" s="64">
        <v>55.8</v>
      </c>
      <c r="O8" s="64">
        <v>0</v>
      </c>
      <c r="P8" s="43">
        <v>26</v>
      </c>
      <c r="Q8" s="43">
        <v>10</v>
      </c>
      <c r="R8" s="43">
        <v>0.41</v>
      </c>
      <c r="S8" s="43">
        <v>0.16</v>
      </c>
      <c r="T8" s="47">
        <v>80</v>
      </c>
      <c r="U8" s="65">
        <v>94.5</v>
      </c>
      <c r="V8" s="65">
        <f>(210+251+177+199)/7</f>
        <v>119.57142857142857</v>
      </c>
      <c r="W8" s="65">
        <f>(371+117)/2</f>
        <v>244</v>
      </c>
      <c r="X8" s="65">
        <f>(129+143)/6</f>
        <v>45.333333333333336</v>
      </c>
      <c r="Y8" s="65">
        <v>0</v>
      </c>
      <c r="Z8" s="65">
        <v>650</v>
      </c>
      <c r="AA8" s="66">
        <v>1</v>
      </c>
      <c r="AB8" s="66">
        <v>1</v>
      </c>
      <c r="AC8" s="66">
        <v>1</v>
      </c>
      <c r="AD8" s="66">
        <v>0</v>
      </c>
      <c r="AE8" s="66">
        <v>0</v>
      </c>
      <c r="AF8" s="66">
        <v>2</v>
      </c>
      <c r="AG8" s="25" t="s">
        <v>6</v>
      </c>
    </row>
    <row r="9" spans="1:33" ht="40.799999999999997" thickBot="1" x14ac:dyDescent="0.35">
      <c r="A9" s="1" t="s">
        <v>7</v>
      </c>
      <c r="B9" s="1" t="s">
        <v>61</v>
      </c>
      <c r="C9" s="1">
        <v>24.86</v>
      </c>
      <c r="D9" s="1">
        <v>24.86</v>
      </c>
      <c r="E9" s="1">
        <v>7.7119999999999994E-2</v>
      </c>
      <c r="F9" s="1">
        <v>0.90156000000000003</v>
      </c>
      <c r="G9" s="1">
        <v>1.2749999999999999E-2</v>
      </c>
      <c r="H9" s="1">
        <v>-1.1091899999999999</v>
      </c>
      <c r="I9" s="64">
        <v>1</v>
      </c>
      <c r="J9" s="64">
        <v>1</v>
      </c>
      <c r="K9" s="64">
        <v>0</v>
      </c>
      <c r="L9" s="64">
        <v>1</v>
      </c>
      <c r="M9" s="64">
        <v>101</v>
      </c>
      <c r="N9" s="64">
        <v>46.3</v>
      </c>
      <c r="O9" s="64">
        <v>0</v>
      </c>
      <c r="P9" s="43">
        <v>26</v>
      </c>
      <c r="Q9" s="43">
        <v>10</v>
      </c>
      <c r="R9" s="43">
        <v>0.41</v>
      </c>
      <c r="S9" s="43">
        <v>0.16</v>
      </c>
      <c r="T9" s="47">
        <v>80</v>
      </c>
      <c r="U9" s="65">
        <f>(465+862)/2</f>
        <v>663.5</v>
      </c>
      <c r="V9" s="65">
        <f>(277+599+538+669+379+286)/7</f>
        <v>392.57142857142856</v>
      </c>
      <c r="W9" s="65">
        <v>0</v>
      </c>
      <c r="X9" s="65">
        <v>0</v>
      </c>
      <c r="Y9" s="65">
        <f>2659/3</f>
        <v>886.33333333333337</v>
      </c>
      <c r="Z9" s="65">
        <v>500</v>
      </c>
      <c r="AA9" s="66">
        <v>1</v>
      </c>
      <c r="AB9" s="66">
        <v>1</v>
      </c>
      <c r="AC9" s="66">
        <v>0</v>
      </c>
      <c r="AD9" s="66">
        <v>0</v>
      </c>
      <c r="AE9" s="66">
        <v>1</v>
      </c>
      <c r="AF9" s="66">
        <v>1</v>
      </c>
      <c r="AG9" s="26" t="s">
        <v>7</v>
      </c>
    </row>
    <row r="10" spans="1:33" ht="40.799999999999997" thickBot="1" x14ac:dyDescent="0.35">
      <c r="A10" s="1" t="s">
        <v>8</v>
      </c>
      <c r="B10" s="1" t="s">
        <v>61</v>
      </c>
      <c r="C10" s="1">
        <v>28.17</v>
      </c>
      <c r="D10" s="1">
        <v>28.17</v>
      </c>
      <c r="E10" s="1">
        <v>7.79E-3</v>
      </c>
      <c r="F10" s="1">
        <v>3.18289</v>
      </c>
      <c r="G10" s="1">
        <v>7.7030000000000001E-2</v>
      </c>
      <c r="H10" s="1">
        <v>3.18289</v>
      </c>
      <c r="I10" s="64">
        <v>11</v>
      </c>
      <c r="J10" s="64">
        <v>5</v>
      </c>
      <c r="K10" s="64">
        <v>2</v>
      </c>
      <c r="L10" s="64">
        <v>1</v>
      </c>
      <c r="M10" s="64">
        <v>96</v>
      </c>
      <c r="N10" s="64">
        <v>52</v>
      </c>
      <c r="O10" s="64">
        <v>47.1</v>
      </c>
      <c r="P10" s="43">
        <v>32</v>
      </c>
      <c r="Q10" s="43">
        <v>7</v>
      </c>
      <c r="R10" s="43">
        <v>1.1200000000000001</v>
      </c>
      <c r="S10" s="43">
        <v>0.25</v>
      </c>
      <c r="T10" s="47">
        <v>94</v>
      </c>
      <c r="U10" s="65">
        <f>(483+908)/2</f>
        <v>695.5</v>
      </c>
      <c r="V10" s="65">
        <f>(858+479+224+309+219+179)/7</f>
        <v>324</v>
      </c>
      <c r="W10" s="65">
        <f>(336+158)/2</f>
        <v>247</v>
      </c>
      <c r="X10" s="65">
        <f>(839+510+989+3000)/6</f>
        <v>889.66666666666663</v>
      </c>
      <c r="Y10" s="65">
        <f>139/3</f>
        <v>46.333333333333336</v>
      </c>
      <c r="Z10" s="67">
        <f>1665/2</f>
        <v>832.5</v>
      </c>
      <c r="AA10" s="66">
        <v>1</v>
      </c>
      <c r="AB10" s="66">
        <v>1</v>
      </c>
      <c r="AC10" s="66">
        <v>2</v>
      </c>
      <c r="AD10" s="66">
        <v>1</v>
      </c>
      <c r="AE10" s="66">
        <v>0</v>
      </c>
      <c r="AF10" s="66">
        <v>3</v>
      </c>
      <c r="AG10" s="25" t="s">
        <v>8</v>
      </c>
    </row>
    <row r="11" spans="1:33" ht="40.799999999999997" thickBot="1" x14ac:dyDescent="0.35">
      <c r="A11" s="1" t="s">
        <v>9</v>
      </c>
      <c r="B11" s="1" t="s">
        <v>61</v>
      </c>
      <c r="C11" s="1">
        <v>29.28</v>
      </c>
      <c r="D11" s="1">
        <v>29.28</v>
      </c>
      <c r="E11" s="1">
        <v>3.62E-3</v>
      </c>
      <c r="F11" s="1">
        <v>1.5646100000000001</v>
      </c>
      <c r="G11" s="1">
        <v>4.8719999999999999E-2</v>
      </c>
      <c r="H11" s="1">
        <v>1.5646100000000001</v>
      </c>
      <c r="I11" s="64">
        <v>6</v>
      </c>
      <c r="J11" s="64">
        <v>2</v>
      </c>
      <c r="K11" s="64">
        <v>0</v>
      </c>
      <c r="L11" s="64">
        <v>1</v>
      </c>
      <c r="M11" s="64">
        <v>162</v>
      </c>
      <c r="N11" s="64">
        <v>49.3</v>
      </c>
      <c r="O11" s="64">
        <v>0</v>
      </c>
      <c r="P11" s="43">
        <v>2</v>
      </c>
      <c r="Q11" s="43">
        <v>3</v>
      </c>
      <c r="R11" s="43">
        <v>0.41</v>
      </c>
      <c r="S11" s="43">
        <v>0.62</v>
      </c>
      <c r="T11" s="43">
        <v>348</v>
      </c>
      <c r="U11" s="65">
        <f>(593+418)/2</f>
        <v>505.5</v>
      </c>
      <c r="V11" s="65">
        <f>(673+724+2742+957+893)/7</f>
        <v>855.57142857142856</v>
      </c>
      <c r="W11" s="65">
        <v>830</v>
      </c>
      <c r="X11" s="65">
        <v>1000</v>
      </c>
      <c r="Y11" s="65">
        <f>131/3</f>
        <v>43.666666666666664</v>
      </c>
      <c r="Z11" s="65">
        <f>1479/2</f>
        <v>739.5</v>
      </c>
      <c r="AA11" s="66">
        <v>2</v>
      </c>
      <c r="AB11" s="66">
        <v>1</v>
      </c>
      <c r="AC11" s="66">
        <v>2</v>
      </c>
      <c r="AD11" s="66">
        <v>1</v>
      </c>
      <c r="AE11" s="66">
        <v>0</v>
      </c>
      <c r="AF11" s="66">
        <v>2</v>
      </c>
      <c r="AG11" s="25" t="s">
        <v>9</v>
      </c>
    </row>
    <row r="12" spans="1:33" ht="40.799999999999997" thickBot="1" x14ac:dyDescent="0.35">
      <c r="A12" s="1" t="s">
        <v>10</v>
      </c>
      <c r="B12" s="1" t="s">
        <v>61</v>
      </c>
      <c r="C12" s="1">
        <v>26.17</v>
      </c>
      <c r="D12" s="1">
        <v>26.17</v>
      </c>
      <c r="E12" s="1">
        <v>3.1210000000000002E-2</v>
      </c>
      <c r="F12" s="1">
        <v>2.2757100000000001</v>
      </c>
      <c r="G12" s="1">
        <v>0.12881000000000001</v>
      </c>
      <c r="H12" s="1">
        <v>2.2757100000000001</v>
      </c>
      <c r="I12" s="64">
        <v>5</v>
      </c>
      <c r="J12" s="64">
        <v>4</v>
      </c>
      <c r="K12" s="64">
        <v>1</v>
      </c>
      <c r="L12" s="64">
        <v>1</v>
      </c>
      <c r="M12" s="64">
        <v>219</v>
      </c>
      <c r="N12" s="64">
        <v>57.5</v>
      </c>
      <c r="O12" s="64">
        <v>52.8</v>
      </c>
      <c r="P12" s="43">
        <v>53</v>
      </c>
      <c r="Q12" s="43">
        <v>4</v>
      </c>
      <c r="R12" s="43">
        <v>1.28</v>
      </c>
      <c r="S12" s="43">
        <v>0.1</v>
      </c>
      <c r="T12" s="47">
        <v>294</v>
      </c>
      <c r="U12" s="65">
        <v>1000</v>
      </c>
      <c r="V12" s="65">
        <f>(566+464+815+929+1831+370)/7</f>
        <v>710.71428571428567</v>
      </c>
      <c r="W12" s="65">
        <v>502</v>
      </c>
      <c r="X12" s="65">
        <f>(4799+889)/6</f>
        <v>948</v>
      </c>
      <c r="Y12" s="65">
        <f>534*2/3</f>
        <v>356</v>
      </c>
      <c r="Z12" s="65">
        <f>1278/2</f>
        <v>639</v>
      </c>
      <c r="AA12" s="66">
        <v>2</v>
      </c>
      <c r="AB12" s="66">
        <v>2</v>
      </c>
      <c r="AC12" s="66">
        <v>1</v>
      </c>
      <c r="AD12" s="66">
        <v>1</v>
      </c>
      <c r="AE12" s="66">
        <v>1</v>
      </c>
      <c r="AF12" s="66">
        <v>1</v>
      </c>
      <c r="AG12" s="26" t="s">
        <v>10</v>
      </c>
    </row>
    <row r="13" spans="1:33" ht="40.799999999999997" thickBot="1" x14ac:dyDescent="0.35">
      <c r="A13" s="3" t="s">
        <v>11</v>
      </c>
      <c r="B13" s="3" t="s">
        <v>61</v>
      </c>
      <c r="C13" s="3">
        <v>30.37</v>
      </c>
      <c r="D13" s="3">
        <v>30.37</v>
      </c>
      <c r="E13" s="3">
        <v>1.6999999999999999E-3</v>
      </c>
      <c r="F13" s="3">
        <v>3.1654800000000001</v>
      </c>
      <c r="G13" s="3">
        <v>0.13611999999999999</v>
      </c>
      <c r="H13" s="3">
        <v>3.1654800000000001</v>
      </c>
      <c r="I13" s="64">
        <v>3</v>
      </c>
      <c r="J13" s="64">
        <v>3</v>
      </c>
      <c r="K13" s="64">
        <v>0</v>
      </c>
      <c r="L13" s="64">
        <v>1</v>
      </c>
      <c r="M13" s="64">
        <v>137</v>
      </c>
      <c r="N13" s="64">
        <v>44.5</v>
      </c>
      <c r="O13" s="64">
        <v>0</v>
      </c>
      <c r="P13" s="43">
        <v>53</v>
      </c>
      <c r="Q13" s="43">
        <v>4</v>
      </c>
      <c r="R13" s="43">
        <v>1.28</v>
      </c>
      <c r="S13" s="43">
        <v>0.1</v>
      </c>
      <c r="T13" s="47">
        <v>294</v>
      </c>
      <c r="U13" s="65">
        <f>1578/2</f>
        <v>789</v>
      </c>
      <c r="V13" s="65">
        <f>(378+255+693+433+472+631+370)/7</f>
        <v>461.71428571428572</v>
      </c>
      <c r="W13" s="65">
        <v>116.5</v>
      </c>
      <c r="X13" s="65">
        <f>142/6</f>
        <v>23.666666666666668</v>
      </c>
      <c r="Y13" s="65">
        <v>0</v>
      </c>
      <c r="Z13" s="65">
        <f>1714/2</f>
        <v>857</v>
      </c>
      <c r="AA13" s="66">
        <v>1</v>
      </c>
      <c r="AB13" s="66">
        <v>2</v>
      </c>
      <c r="AC13" s="66">
        <v>1</v>
      </c>
      <c r="AD13" s="66">
        <v>0</v>
      </c>
      <c r="AE13" s="66">
        <v>0</v>
      </c>
      <c r="AF13" s="66">
        <v>1</v>
      </c>
      <c r="AG13" s="27" t="s">
        <v>11</v>
      </c>
    </row>
    <row r="14" spans="1:33" ht="40.799999999999997" thickBot="1" x14ac:dyDescent="0.35">
      <c r="A14" s="2" t="s">
        <v>12</v>
      </c>
      <c r="B14" s="2" t="s">
        <v>61</v>
      </c>
      <c r="C14" s="6">
        <v>33.71</v>
      </c>
      <c r="D14" s="6">
        <v>33.71</v>
      </c>
      <c r="E14" s="6">
        <v>1.4999999999999999E-4</v>
      </c>
      <c r="F14" s="6">
        <v>4.2689199999999996</v>
      </c>
      <c r="G14" s="6">
        <v>0.89886999999999995</v>
      </c>
      <c r="H14" s="2">
        <v>4.2689199999999996</v>
      </c>
      <c r="I14" s="64">
        <v>8</v>
      </c>
      <c r="J14" s="64">
        <v>3</v>
      </c>
      <c r="K14" s="64">
        <v>0</v>
      </c>
      <c r="L14" s="64">
        <v>1</v>
      </c>
      <c r="M14" s="64">
        <v>237</v>
      </c>
      <c r="N14" s="64">
        <v>48.8</v>
      </c>
      <c r="O14" s="64">
        <v>0</v>
      </c>
      <c r="P14" s="43">
        <v>53</v>
      </c>
      <c r="Q14" s="43">
        <v>4</v>
      </c>
      <c r="R14" s="43">
        <v>1.28</v>
      </c>
      <c r="S14" s="43">
        <v>0.1</v>
      </c>
      <c r="T14" s="47">
        <v>294</v>
      </c>
      <c r="U14" s="65">
        <f>175/2</f>
        <v>87.5</v>
      </c>
      <c r="V14" s="65">
        <f>(220+173+278)/7</f>
        <v>95.857142857142861</v>
      </c>
      <c r="W14" s="65">
        <v>0</v>
      </c>
      <c r="X14" s="65">
        <f>112/6</f>
        <v>18.666666666666668</v>
      </c>
      <c r="Y14" s="65">
        <v>0</v>
      </c>
      <c r="Z14" s="65">
        <v>500</v>
      </c>
      <c r="AA14" s="66">
        <v>1</v>
      </c>
      <c r="AB14" s="66">
        <v>0</v>
      </c>
      <c r="AC14" s="66">
        <v>0</v>
      </c>
      <c r="AD14" s="66">
        <v>0</v>
      </c>
      <c r="AE14" s="66">
        <v>0</v>
      </c>
      <c r="AF14" s="66">
        <v>1</v>
      </c>
      <c r="AG14" s="25" t="s">
        <v>12</v>
      </c>
    </row>
    <row r="15" spans="1:33" ht="40.799999999999997" thickBot="1" x14ac:dyDescent="0.35">
      <c r="A15" s="1" t="s">
        <v>13</v>
      </c>
      <c r="B15" s="1" t="s">
        <v>61</v>
      </c>
      <c r="C15" s="1">
        <v>30.14</v>
      </c>
      <c r="D15" s="1">
        <v>30.14</v>
      </c>
      <c r="E15" s="1">
        <v>1.8400000000000001E-3</v>
      </c>
      <c r="F15" s="1">
        <v>2.2044199999999998</v>
      </c>
      <c r="G15" s="1">
        <v>0.13270999999999999</v>
      </c>
      <c r="H15" s="1">
        <v>2.2044199999999998</v>
      </c>
      <c r="I15" s="64">
        <v>5</v>
      </c>
      <c r="J15" s="64">
        <v>2</v>
      </c>
      <c r="K15" s="64">
        <v>0</v>
      </c>
      <c r="L15" s="64">
        <v>1</v>
      </c>
      <c r="M15" s="64">
        <v>60</v>
      </c>
      <c r="N15" s="64">
        <v>46.3</v>
      </c>
      <c r="O15" s="64">
        <v>0</v>
      </c>
      <c r="P15" s="43">
        <v>51</v>
      </c>
      <c r="Q15" s="43">
        <v>3</v>
      </c>
      <c r="R15" s="43">
        <v>0.82</v>
      </c>
      <c r="S15" s="43">
        <v>0.05</v>
      </c>
      <c r="T15" s="43">
        <v>154</v>
      </c>
      <c r="U15" s="65">
        <v>0</v>
      </c>
      <c r="V15" s="65">
        <f>211/7</f>
        <v>30.142857142857142</v>
      </c>
      <c r="W15" s="65">
        <f>268/2</f>
        <v>134</v>
      </c>
      <c r="X15" s="65">
        <v>0</v>
      </c>
      <c r="Y15" s="65">
        <v>0</v>
      </c>
      <c r="Z15" s="65">
        <f>903/2</f>
        <v>451.5</v>
      </c>
      <c r="AA15" s="66">
        <v>0</v>
      </c>
      <c r="AB15" s="66">
        <v>0</v>
      </c>
      <c r="AC15" s="66">
        <v>1</v>
      </c>
      <c r="AD15" s="66">
        <v>0</v>
      </c>
      <c r="AE15" s="66">
        <v>0</v>
      </c>
      <c r="AF15" s="66">
        <v>1</v>
      </c>
      <c r="AG15" s="25" t="s">
        <v>58</v>
      </c>
    </row>
    <row r="16" spans="1:33" ht="40.799999999999997" thickBot="1" x14ac:dyDescent="0.35">
      <c r="A16" s="1" t="s">
        <v>14</v>
      </c>
      <c r="B16" s="1" t="s">
        <v>61</v>
      </c>
      <c r="C16" s="1">
        <v>26.01</v>
      </c>
      <c r="D16" s="1">
        <v>26.01</v>
      </c>
      <c r="E16" s="1">
        <v>3.2210000000000003E-2</v>
      </c>
      <c r="F16" s="1">
        <v>1.59995</v>
      </c>
      <c r="G16" s="1">
        <v>0.13011</v>
      </c>
      <c r="H16" s="1">
        <v>1.59995</v>
      </c>
      <c r="I16" s="64">
        <v>20</v>
      </c>
      <c r="J16" s="64">
        <v>4</v>
      </c>
      <c r="K16" s="64">
        <v>4</v>
      </c>
      <c r="L16" s="64">
        <v>2</v>
      </c>
      <c r="M16" s="64">
        <v>240</v>
      </c>
      <c r="N16" s="64">
        <v>51.3</v>
      </c>
      <c r="O16" s="64">
        <v>51.3</v>
      </c>
      <c r="P16" s="43">
        <v>51</v>
      </c>
      <c r="Q16" s="43">
        <v>3</v>
      </c>
      <c r="R16" s="43">
        <v>0.82</v>
      </c>
      <c r="S16" s="43">
        <v>0.05</v>
      </c>
      <c r="T16" s="43">
        <v>154</v>
      </c>
      <c r="U16" s="65">
        <f>(407+711)/2</f>
        <v>559</v>
      </c>
      <c r="V16" s="65">
        <f>(159+215+344+536+309)/7</f>
        <v>223.28571428571428</v>
      </c>
      <c r="W16" s="65">
        <f>1756/2</f>
        <v>878</v>
      </c>
      <c r="X16" s="65">
        <v>0</v>
      </c>
      <c r="Y16" s="65">
        <f>117/2</f>
        <v>58.5</v>
      </c>
      <c r="Z16" s="65">
        <f>1447/2</f>
        <v>723.5</v>
      </c>
      <c r="AA16" s="66">
        <v>1</v>
      </c>
      <c r="AB16" s="66">
        <v>1</v>
      </c>
      <c r="AC16" s="66">
        <v>2</v>
      </c>
      <c r="AD16" s="66">
        <v>0</v>
      </c>
      <c r="AE16" s="66">
        <v>0</v>
      </c>
      <c r="AF16" s="66">
        <v>2</v>
      </c>
      <c r="AG16" s="26" t="s">
        <v>14</v>
      </c>
    </row>
    <row r="17" spans="1:34" ht="40.799999999999997" thickBot="1" x14ac:dyDescent="0.35">
      <c r="A17" s="1" t="s">
        <v>15</v>
      </c>
      <c r="B17" s="1" t="s">
        <v>61</v>
      </c>
      <c r="C17" s="1">
        <v>25.53</v>
      </c>
      <c r="D17" s="1">
        <v>25.53</v>
      </c>
      <c r="E17" s="1">
        <v>4.4900000000000002E-2</v>
      </c>
      <c r="F17" s="1">
        <v>1.18533</v>
      </c>
      <c r="G17" s="1">
        <v>2.443E-2</v>
      </c>
      <c r="H17" s="1">
        <v>1.18533</v>
      </c>
      <c r="I17" s="64">
        <v>6</v>
      </c>
      <c r="J17" s="64">
        <v>1</v>
      </c>
      <c r="K17" s="64">
        <v>0</v>
      </c>
      <c r="L17" s="64">
        <v>1</v>
      </c>
      <c r="M17" s="64">
        <v>118</v>
      </c>
      <c r="N17" s="64">
        <v>38.700000000000003</v>
      </c>
      <c r="O17" s="64">
        <v>0</v>
      </c>
      <c r="P17" s="43">
        <v>10</v>
      </c>
      <c r="Q17" s="43">
        <v>4</v>
      </c>
      <c r="R17" s="43">
        <v>1.94</v>
      </c>
      <c r="S17" s="43">
        <v>0.78</v>
      </c>
      <c r="T17" s="43">
        <v>374</v>
      </c>
      <c r="U17" s="65">
        <f>1971/2</f>
        <v>985.5</v>
      </c>
      <c r="V17" s="65">
        <f>(407+467+736+622+551+408+162)/7</f>
        <v>479</v>
      </c>
      <c r="W17" s="65">
        <f>(899+113)/2</f>
        <v>506</v>
      </c>
      <c r="X17" s="65">
        <f>(686+538+704+340+661+720)/6</f>
        <v>608.16666666666663</v>
      </c>
      <c r="Y17" s="65">
        <v>0</v>
      </c>
      <c r="Z17" s="65">
        <f>1307/2</f>
        <v>653.5</v>
      </c>
      <c r="AA17" s="66">
        <v>1</v>
      </c>
      <c r="AB17" s="66">
        <v>1</v>
      </c>
      <c r="AC17" s="66">
        <v>2</v>
      </c>
      <c r="AD17" s="66">
        <v>1</v>
      </c>
      <c r="AE17" s="66">
        <v>0</v>
      </c>
      <c r="AF17" s="66">
        <v>2</v>
      </c>
      <c r="AG17" s="25" t="s">
        <v>15</v>
      </c>
    </row>
    <row r="18" spans="1:34" ht="40.799999999999997" thickBot="1" x14ac:dyDescent="0.35">
      <c r="A18" s="2" t="s">
        <v>16</v>
      </c>
      <c r="B18" s="2" t="s">
        <v>61</v>
      </c>
      <c r="C18" s="6">
        <v>32.33</v>
      </c>
      <c r="D18" s="6">
        <v>32.33</v>
      </c>
      <c r="E18" s="6">
        <v>4.0000000000000002E-4</v>
      </c>
      <c r="F18" s="6">
        <v>8.3704900000000002</v>
      </c>
      <c r="G18" s="6">
        <v>0.64998999999999996</v>
      </c>
      <c r="H18" s="2">
        <v>8.3704900000000002</v>
      </c>
      <c r="I18" s="64">
        <v>16</v>
      </c>
      <c r="J18" s="64">
        <v>11</v>
      </c>
      <c r="K18" s="64">
        <v>3</v>
      </c>
      <c r="L18" s="64">
        <v>6</v>
      </c>
      <c r="M18" s="64">
        <v>157.19999999999999</v>
      </c>
      <c r="N18" s="64">
        <v>47.8</v>
      </c>
      <c r="O18" s="64">
        <v>47.8</v>
      </c>
      <c r="P18" s="43">
        <v>10</v>
      </c>
      <c r="Q18" s="43">
        <v>4</v>
      </c>
      <c r="R18" s="43">
        <v>1.94</v>
      </c>
      <c r="S18" s="43">
        <v>0.78</v>
      </c>
      <c r="T18" s="43">
        <v>374</v>
      </c>
      <c r="U18" s="65">
        <v>82</v>
      </c>
      <c r="V18" s="65">
        <f>(229+648+784)/7</f>
        <v>237.28571428571428</v>
      </c>
      <c r="W18" s="65">
        <v>52</v>
      </c>
      <c r="X18" s="65">
        <f>(608+739+807+889+1803)/6</f>
        <v>807.66666666666663</v>
      </c>
      <c r="Y18" s="65">
        <v>0</v>
      </c>
      <c r="Z18" s="65">
        <f>1476/2</f>
        <v>738</v>
      </c>
      <c r="AA18" s="66">
        <v>1</v>
      </c>
      <c r="AB18" s="66">
        <v>0</v>
      </c>
      <c r="AC18" s="66">
        <v>1</v>
      </c>
      <c r="AD18" s="66">
        <v>1</v>
      </c>
      <c r="AE18" s="66">
        <v>0</v>
      </c>
      <c r="AF18" s="66">
        <v>2</v>
      </c>
      <c r="AG18" s="25" t="s">
        <v>16</v>
      </c>
    </row>
    <row r="19" spans="1:34" ht="40.799999999999997" thickBot="1" x14ac:dyDescent="0.35">
      <c r="A19" s="3" t="s">
        <v>17</v>
      </c>
      <c r="B19" s="3" t="s">
        <v>61</v>
      </c>
      <c r="C19" s="3">
        <v>26.82</v>
      </c>
      <c r="D19" s="3">
        <v>26.82</v>
      </c>
      <c r="E19" s="3">
        <v>1.8259999999999998E-2</v>
      </c>
      <c r="F19" s="3">
        <v>0.97114999999999996</v>
      </c>
      <c r="G19" s="3">
        <v>2.0299999999999999E-2</v>
      </c>
      <c r="H19" s="3">
        <v>-1.0297099999999999</v>
      </c>
      <c r="I19" s="64">
        <v>1</v>
      </c>
      <c r="J19" s="64">
        <v>1</v>
      </c>
      <c r="K19" s="64">
        <v>1</v>
      </c>
      <c r="L19" s="64">
        <v>1</v>
      </c>
      <c r="M19" s="64">
        <v>150</v>
      </c>
      <c r="N19" s="64">
        <v>40.799999999999997</v>
      </c>
      <c r="O19" s="64">
        <v>40.799999999999997</v>
      </c>
      <c r="P19" s="43">
        <v>2</v>
      </c>
      <c r="Q19" s="43">
        <v>3</v>
      </c>
      <c r="R19" s="43">
        <v>0.41</v>
      </c>
      <c r="S19" s="43">
        <v>0.62</v>
      </c>
      <c r="T19" s="43">
        <v>348</v>
      </c>
      <c r="U19" s="65">
        <v>1000</v>
      </c>
      <c r="V19" s="65">
        <f>(1000+923+1748+736+689+736)/7</f>
        <v>833.14285714285711</v>
      </c>
      <c r="W19" s="65">
        <f>(383+128)/2</f>
        <v>255.5</v>
      </c>
      <c r="X19" s="65">
        <f>(118+131)/6</f>
        <v>41.5</v>
      </c>
      <c r="Y19" s="65">
        <f>172/3</f>
        <v>57.333333333333336</v>
      </c>
      <c r="Z19" s="65">
        <f>1348/2</f>
        <v>674</v>
      </c>
      <c r="AA19" s="66">
        <v>2</v>
      </c>
      <c r="AB19" s="66">
        <v>2</v>
      </c>
      <c r="AC19" s="66">
        <v>2</v>
      </c>
      <c r="AD19" s="66">
        <v>0</v>
      </c>
      <c r="AE19" s="66">
        <v>0</v>
      </c>
      <c r="AF19" s="66">
        <v>1</v>
      </c>
      <c r="AG19" s="28" t="s">
        <v>17</v>
      </c>
    </row>
    <row r="20" spans="1:34" ht="40.799999999999997" thickBot="1" x14ac:dyDescent="0.35">
      <c r="A20" s="3" t="s">
        <v>18</v>
      </c>
      <c r="B20" s="3" t="s">
        <v>61</v>
      </c>
      <c r="C20" s="3">
        <v>23.29</v>
      </c>
      <c r="D20" s="3">
        <v>23.29</v>
      </c>
      <c r="E20" s="3">
        <v>0.3044</v>
      </c>
      <c r="F20" s="3">
        <v>1.7792600000000001</v>
      </c>
      <c r="G20" s="3">
        <v>6.3469999999999999E-2</v>
      </c>
      <c r="H20" s="3">
        <v>1.7792600000000001</v>
      </c>
      <c r="I20" s="64">
        <v>3</v>
      </c>
      <c r="J20" s="64">
        <v>1</v>
      </c>
      <c r="K20" s="64">
        <v>0</v>
      </c>
      <c r="L20" s="64">
        <v>2</v>
      </c>
      <c r="M20" s="64">
        <v>154</v>
      </c>
      <c r="N20" s="64">
        <v>36.6</v>
      </c>
      <c r="O20" s="64">
        <v>0</v>
      </c>
      <c r="P20" s="43">
        <v>2</v>
      </c>
      <c r="Q20" s="43">
        <v>3</v>
      </c>
      <c r="R20" s="43">
        <v>0.41</v>
      </c>
      <c r="S20" s="43">
        <v>0.62</v>
      </c>
      <c r="T20" s="43">
        <v>348</v>
      </c>
      <c r="U20" s="65">
        <v>1000</v>
      </c>
      <c r="V20" s="65">
        <f>6679/7</f>
        <v>954.14285714285711</v>
      </c>
      <c r="W20" s="65">
        <f>(887+122)/2</f>
        <v>504.5</v>
      </c>
      <c r="X20" s="65">
        <v>0</v>
      </c>
      <c r="Y20" s="65">
        <f>2455/3</f>
        <v>818.33333333333337</v>
      </c>
      <c r="Z20" s="65">
        <f>1729/2</f>
        <v>864.5</v>
      </c>
      <c r="AA20" s="66">
        <v>3</v>
      </c>
      <c r="AB20" s="66">
        <v>3</v>
      </c>
      <c r="AC20" s="66">
        <v>2</v>
      </c>
      <c r="AD20" s="66">
        <v>0</v>
      </c>
      <c r="AE20" s="66">
        <v>2</v>
      </c>
      <c r="AF20" s="66">
        <v>2</v>
      </c>
      <c r="AG20" s="28" t="s">
        <v>18</v>
      </c>
    </row>
    <row r="21" spans="1:34" x14ac:dyDescent="0.3">
      <c r="I21" s="68"/>
      <c r="P21" s="10"/>
      <c r="T21" s="68"/>
      <c r="V21" s="52"/>
      <c r="W21" s="52"/>
      <c r="X21" s="52"/>
      <c r="Y21" s="52"/>
      <c r="Z21" s="52"/>
      <c r="AA21" s="52"/>
      <c r="AB21" s="55"/>
      <c r="AC21" s="55"/>
      <c r="AD21" s="55"/>
      <c r="AE21" s="55"/>
      <c r="AF21" s="55"/>
      <c r="AG21" s="29"/>
    </row>
    <row r="22" spans="1:34" x14ac:dyDescent="0.3">
      <c r="I22" s="68"/>
      <c r="P22" s="10"/>
      <c r="T22" s="68"/>
      <c r="U22" s="67"/>
      <c r="AG22" s="29"/>
    </row>
    <row r="25" spans="1:34" ht="15" thickBot="1" x14ac:dyDescent="0.35"/>
    <row r="26" spans="1:34" ht="15" thickBot="1" x14ac:dyDescent="0.35">
      <c r="A26" s="57"/>
      <c r="B26" s="1"/>
      <c r="C26" s="1"/>
      <c r="D26" s="1"/>
      <c r="E26" s="1"/>
      <c r="F26" s="1"/>
      <c r="G26" s="1"/>
      <c r="H26" s="1"/>
      <c r="I26" s="1"/>
    </row>
    <row r="27" spans="1:34" ht="15" thickBot="1" x14ac:dyDescent="0.35">
      <c r="A27" s="57"/>
      <c r="B27" s="60"/>
      <c r="C27" s="1"/>
      <c r="D27" s="1"/>
      <c r="E27" s="1"/>
      <c r="F27" s="1"/>
      <c r="G27" s="1"/>
      <c r="H27" s="1"/>
      <c r="I27" s="1"/>
      <c r="AH27" s="25"/>
    </row>
    <row r="28" spans="1:34" ht="15" thickBot="1" x14ac:dyDescent="0.35">
      <c r="A28" s="62"/>
      <c r="B28" s="63"/>
      <c r="C28" s="5"/>
      <c r="D28" s="5"/>
      <c r="E28" s="5"/>
      <c r="F28" s="5"/>
      <c r="G28" s="5"/>
      <c r="H28" s="63"/>
      <c r="I28" s="63"/>
      <c r="AH28" s="25"/>
    </row>
    <row r="29" spans="1:34" ht="15" thickBot="1" x14ac:dyDescent="0.35">
      <c r="A29" s="57"/>
      <c r="B29" s="1"/>
      <c r="C29" s="1"/>
      <c r="D29" s="1"/>
      <c r="E29" s="1"/>
      <c r="F29" s="1"/>
      <c r="G29" s="1"/>
      <c r="H29" s="1"/>
      <c r="I29" s="1"/>
      <c r="AH29" s="27"/>
    </row>
    <row r="30" spans="1:34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AH30" s="22"/>
    </row>
    <row r="31" spans="1:34" ht="15" thickBot="1" x14ac:dyDescent="0.35">
      <c r="A31" s="57"/>
      <c r="B31" s="1"/>
      <c r="C31" s="1"/>
      <c r="D31" s="1"/>
      <c r="E31" s="1"/>
      <c r="F31" s="1"/>
      <c r="G31" s="1"/>
      <c r="H31" s="1"/>
      <c r="I31" s="1"/>
      <c r="AH31" s="25"/>
    </row>
    <row r="32" spans="1:34" ht="15" thickBot="1" x14ac:dyDescent="0.35">
      <c r="A32" s="57"/>
      <c r="B32" s="1"/>
      <c r="C32" s="1"/>
      <c r="D32" s="1"/>
      <c r="E32" s="1"/>
      <c r="F32" s="1"/>
      <c r="G32" s="1"/>
      <c r="H32" s="1"/>
      <c r="I32" s="1"/>
      <c r="AH32" s="22"/>
    </row>
    <row r="33" spans="1:34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AH33" s="22"/>
    </row>
    <row r="34" spans="1:34" ht="15" thickBot="1" x14ac:dyDescent="0.35">
      <c r="AH34" s="25"/>
    </row>
    <row r="35" spans="1:34" ht="15" thickBot="1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34" ht="15" thickBot="1" x14ac:dyDescent="0.35">
      <c r="AH36" s="25"/>
    </row>
    <row r="37" spans="1:34" ht="15" thickBot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34" ht="15" thickBot="1" x14ac:dyDescent="0.35">
      <c r="AH38" s="25"/>
    </row>
    <row r="51" spans="1:34" ht="15" thickBot="1" x14ac:dyDescent="0.35"/>
    <row r="52" spans="1:34" ht="15" thickBot="1" x14ac:dyDescent="0.35">
      <c r="A52" s="61"/>
      <c r="B52" s="61"/>
      <c r="C52" s="4"/>
      <c r="D52" s="4"/>
      <c r="E52" s="4"/>
      <c r="F52" s="4"/>
      <c r="G52" s="4"/>
      <c r="H52" s="61"/>
      <c r="I52" s="61"/>
    </row>
    <row r="53" spans="1:34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AH53" s="25"/>
    </row>
    <row r="54" spans="1:34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AH54" s="25"/>
    </row>
    <row r="55" spans="1:34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AH55" s="25"/>
    </row>
    <row r="56" spans="1:34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AH56" s="25"/>
    </row>
    <row r="57" spans="1:34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AH57" s="25"/>
    </row>
    <row r="58" spans="1:34" ht="15" thickBot="1" x14ac:dyDescent="0.35">
      <c r="A58" s="61"/>
      <c r="B58" s="61"/>
      <c r="C58" s="4"/>
      <c r="D58" s="4"/>
      <c r="E58" s="4"/>
      <c r="F58" s="4"/>
      <c r="G58" s="4"/>
      <c r="H58" s="61"/>
      <c r="I58" s="61"/>
      <c r="AH58" s="25"/>
    </row>
    <row r="59" spans="1:34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AH59" s="30"/>
    </row>
    <row r="60" spans="1:34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AH60" s="25"/>
    </row>
    <row r="61" spans="1:34" ht="15" thickBot="1" x14ac:dyDescent="0.35">
      <c r="A61" s="57"/>
      <c r="B61" s="1"/>
      <c r="C61" s="1"/>
      <c r="D61" s="1"/>
      <c r="E61" s="1"/>
      <c r="F61" s="1"/>
      <c r="G61" s="1"/>
      <c r="H61" s="1"/>
      <c r="I61" s="1"/>
      <c r="AH61" s="27"/>
    </row>
    <row r="62" spans="1:34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AH62" s="22"/>
    </row>
    <row r="63" spans="1:34" ht="15" thickBot="1" x14ac:dyDescent="0.35">
      <c r="A63" s="57"/>
      <c r="B63" s="1"/>
      <c r="C63" s="1"/>
      <c r="D63" s="1"/>
      <c r="E63" s="1"/>
      <c r="F63" s="1"/>
      <c r="G63" s="1"/>
      <c r="H63" s="1"/>
      <c r="I63" s="1"/>
      <c r="AH63" s="25"/>
    </row>
    <row r="64" spans="1:34" ht="15" thickBot="1" x14ac:dyDescent="0.35">
      <c r="A64" s="57"/>
      <c r="B64" s="1"/>
      <c r="C64" s="1"/>
      <c r="D64" s="1"/>
      <c r="E64" s="1"/>
      <c r="F64" s="1"/>
      <c r="G64" s="1"/>
      <c r="H64" s="1"/>
      <c r="I64" s="1"/>
      <c r="AH64" s="22"/>
    </row>
    <row r="65" spans="1:34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AH65" s="22"/>
    </row>
    <row r="66" spans="1:34" ht="15" thickBot="1" x14ac:dyDescent="0.35">
      <c r="AH66" s="25"/>
    </row>
    <row r="67" spans="1:34" ht="15" thickBo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34" ht="15" thickBot="1" x14ac:dyDescent="0.35">
      <c r="AH68" s="25"/>
    </row>
    <row r="69" spans="1:34" ht="15" thickBot="1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34" ht="15" thickBot="1" x14ac:dyDescent="0.35">
      <c r="AH70" s="25"/>
    </row>
    <row r="77" spans="1:34" ht="15" thickBot="1" x14ac:dyDescent="0.35"/>
    <row r="78" spans="1:34" ht="15" thickBot="1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34" ht="15" thickBot="1" x14ac:dyDescent="0.35">
      <c r="A79" s="57"/>
      <c r="B79" s="1"/>
      <c r="C79" s="1"/>
      <c r="D79" s="1"/>
      <c r="E79" s="1"/>
      <c r="F79" s="1"/>
      <c r="G79" s="1"/>
      <c r="H79" s="1"/>
      <c r="I79" s="1"/>
      <c r="AH79" s="25"/>
    </row>
    <row r="80" spans="1:34" ht="15" thickBot="1" x14ac:dyDescent="0.35">
      <c r="A80" s="57"/>
      <c r="B80" s="1"/>
      <c r="C80" s="1"/>
      <c r="D80" s="1"/>
      <c r="E80" s="1"/>
      <c r="F80" s="1"/>
      <c r="G80" s="1"/>
      <c r="H80" s="1"/>
      <c r="I80" s="1"/>
      <c r="AH80" s="25"/>
    </row>
    <row r="81" spans="1:34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AH81" s="25"/>
    </row>
    <row r="82" spans="1:34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AH82" s="25"/>
    </row>
    <row r="83" spans="1:34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AH83" s="25"/>
    </row>
    <row r="84" spans="1:34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AH84" s="25"/>
    </row>
    <row r="85" spans="1:34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AH85" s="27"/>
    </row>
    <row r="86" spans="1:34" ht="15" thickBot="1" x14ac:dyDescent="0.35">
      <c r="A86" s="61"/>
      <c r="B86" s="61"/>
      <c r="C86" s="4"/>
      <c r="D86" s="4"/>
      <c r="E86" s="4"/>
      <c r="F86" s="4"/>
      <c r="G86" s="4"/>
      <c r="H86" s="61"/>
      <c r="I86" s="61"/>
      <c r="AH86" s="25"/>
    </row>
    <row r="87" spans="1:34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AH87" s="25"/>
    </row>
    <row r="88" spans="1:34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AH88" s="25"/>
    </row>
    <row r="89" spans="1:34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AH89" s="25"/>
    </row>
    <row r="90" spans="1:34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AH90" s="25"/>
    </row>
    <row r="91" spans="1:34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AH91" s="25"/>
    </row>
    <row r="92" spans="1:34" ht="15" thickBot="1" x14ac:dyDescent="0.35">
      <c r="A92" s="63"/>
      <c r="B92" s="63"/>
      <c r="C92" s="5"/>
      <c r="D92" s="5"/>
      <c r="E92" s="5"/>
      <c r="F92" s="5"/>
      <c r="G92" s="5"/>
      <c r="H92" s="63"/>
      <c r="I92" s="63"/>
      <c r="AH92" s="25"/>
    </row>
    <row r="93" spans="1:34" ht="15" thickBot="1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34" ht="15" thickBot="1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34" ht="15" thickBot="1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34" ht="15" thickBot="1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ht="15" thickBot="1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ht="15" thickBot="1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ht="15" thickBot="1" x14ac:dyDescent="0.35">
      <c r="A99" s="1"/>
      <c r="B99" s="1"/>
      <c r="C99" s="1"/>
      <c r="D99" s="1"/>
      <c r="E99" s="1"/>
      <c r="F99" s="1"/>
      <c r="G99" s="1"/>
      <c r="H99" s="1"/>
      <c r="I9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16" workbookViewId="0">
      <selection activeCell="C8" sqref="C8"/>
    </sheetView>
  </sheetViews>
  <sheetFormatPr defaultRowHeight="14.4" x14ac:dyDescent="0.3"/>
  <cols>
    <col min="1" max="1" width="22.44140625" customWidth="1"/>
    <col min="2" max="2" width="11" customWidth="1"/>
  </cols>
  <sheetData>
    <row r="1" spans="1:26" ht="57.6" x14ac:dyDescent="0.3">
      <c r="A1" s="39"/>
      <c r="B1" s="40" t="s">
        <v>26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x14ac:dyDescent="0.3">
      <c r="A2" s="37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-4.9542118500826626E-2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4.9922595349055719E-3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-8.1165836051503626E-2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0.20907291351009952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-0.31500806672412918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-0.23362031445226181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1.2192742107413003E-2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0.1360378397417375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0.13804857836152198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7.6831035177552964E-2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-0.11125250679223773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-0.12784600809717203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-0.57992074778590641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-0.4012384833524964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-0.47676195562976886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-1.1304526916134998E-2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-0.39539319170894999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0.12566487892235684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-0.43737516074951549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-0.39407228231551167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-0.23872187679081494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-1.7680975493678218E-2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-0.31692339693274862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-5.1187419354452486E-2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Q27" sqref="Q27"/>
    </sheetView>
  </sheetViews>
  <sheetFormatPr defaultRowHeight="14.4" x14ac:dyDescent="0.3"/>
  <cols>
    <col min="1" max="1" width="22.5546875" customWidth="1"/>
    <col min="2" max="2" width="12.5546875" customWidth="1"/>
  </cols>
  <sheetData>
    <row r="1" spans="1:26" ht="57.6" x14ac:dyDescent="0.3">
      <c r="A1" s="40"/>
      <c r="B1" s="40" t="s">
        <v>24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ht="28.8" x14ac:dyDescent="0.3">
      <c r="A2" s="51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-5.947502711892437E-2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-2.4609659686829363E-2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-0.10423342733863615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0.19862163876883843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-0.34024807894821252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-0.26165450228537618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2.9007365355852674E-2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8.9690310050189084E-2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0.19994168757522798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3.110353539284497E-2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-9.7103309964265194E-2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-0.15806954333185927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-0.60428004456132489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-0.35319666571394015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-0.52658284223139606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-2.6464368566884312E-2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-0.38606041256208196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0.13438285844847489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-0.47185276449204405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-0.40490867942566183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-0.3116187971790414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-4.239273402120481E-2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-0.35509254152560277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-0.10099065946725745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"/>
  <sheetViews>
    <sheetView tabSelected="1" topLeftCell="S1" workbookViewId="0">
      <selection activeCell="I3" sqref="I3"/>
    </sheetView>
  </sheetViews>
  <sheetFormatPr defaultRowHeight="14.4" x14ac:dyDescent="0.3"/>
  <cols>
    <col min="4" max="4" width="12.44140625" customWidth="1"/>
    <col min="5" max="5" width="10" customWidth="1"/>
    <col min="6" max="6" width="10.44140625" customWidth="1"/>
    <col min="7" max="7" width="10.109375" customWidth="1"/>
    <col min="8" max="8" width="10.33203125" customWidth="1"/>
    <col min="9" max="9" width="13.5546875" customWidth="1"/>
    <col min="10" max="16" width="8.88671875" style="68"/>
    <col min="17" max="20" width="8.88671875" style="10"/>
    <col min="21" max="21" width="8.88671875" style="68"/>
    <col min="22" max="22" width="8.109375" style="67" customWidth="1"/>
    <col min="23" max="23" width="10.33203125" style="67" customWidth="1"/>
    <col min="24" max="24" width="8.33203125" style="67" customWidth="1"/>
    <col min="25" max="31" width="8.88671875" style="67"/>
    <col min="32" max="32" width="9.44140625" style="67" customWidth="1"/>
    <col min="33" max="33" width="12.33203125" customWidth="1"/>
    <col min="34" max="34" width="11" customWidth="1"/>
  </cols>
  <sheetData>
    <row r="1" spans="1:38" ht="54" thickBot="1" x14ac:dyDescent="0.35">
      <c r="A1" s="69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89</v>
      </c>
      <c r="G1" s="7" t="s">
        <v>25</v>
      </c>
      <c r="H1" s="7" t="s">
        <v>87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9" t="s">
        <v>81</v>
      </c>
      <c r="Q1" s="9" t="s">
        <v>82</v>
      </c>
      <c r="R1" s="9" t="s">
        <v>36</v>
      </c>
      <c r="S1" s="9" t="s">
        <v>83</v>
      </c>
      <c r="T1" s="9" t="s">
        <v>39</v>
      </c>
      <c r="U1" s="52" t="s">
        <v>62</v>
      </c>
      <c r="V1" s="52" t="s">
        <v>63</v>
      </c>
      <c r="W1" s="52" t="s">
        <v>64</v>
      </c>
      <c r="X1" s="52" t="s">
        <v>65</v>
      </c>
      <c r="Y1" s="52" t="s">
        <v>66</v>
      </c>
      <c r="Z1" s="52" t="s">
        <v>67</v>
      </c>
      <c r="AA1" s="55" t="s">
        <v>68</v>
      </c>
      <c r="AB1" s="55" t="s">
        <v>69</v>
      </c>
      <c r="AC1" s="55" t="s">
        <v>70</v>
      </c>
      <c r="AD1" s="55" t="s">
        <v>71</v>
      </c>
      <c r="AE1" s="55" t="s">
        <v>72</v>
      </c>
      <c r="AF1" s="55" t="s">
        <v>73</v>
      </c>
      <c r="AG1" s="7" t="s">
        <v>88</v>
      </c>
      <c r="AH1" s="7" t="s">
        <v>86</v>
      </c>
      <c r="AI1" s="55" t="s">
        <v>90</v>
      </c>
      <c r="AJ1" s="55" t="s">
        <v>91</v>
      </c>
      <c r="AK1" s="55" t="s">
        <v>92</v>
      </c>
      <c r="AL1" s="55" t="s">
        <v>93</v>
      </c>
    </row>
    <row r="2" spans="1:38" ht="40.799999999999997" thickBot="1" x14ac:dyDescent="0.35">
      <c r="A2" s="58" t="s">
        <v>0</v>
      </c>
      <c r="B2" s="2" t="s">
        <v>61</v>
      </c>
      <c r="C2" s="6">
        <v>31.87</v>
      </c>
      <c r="D2" s="6">
        <v>31.87</v>
      </c>
      <c r="E2" s="6">
        <v>3.8000000000000002E-4</v>
      </c>
      <c r="F2" s="6">
        <v>9.1700800000000005</v>
      </c>
      <c r="G2" s="6">
        <v>1.7416700000000001</v>
      </c>
      <c r="H2" s="2">
        <v>9.1700800000000005</v>
      </c>
      <c r="I2" s="64">
        <v>0</v>
      </c>
      <c r="J2" s="64">
        <v>0</v>
      </c>
      <c r="K2" s="64">
        <v>0</v>
      </c>
      <c r="L2" s="64">
        <v>0</v>
      </c>
      <c r="M2" s="64">
        <v>0</v>
      </c>
      <c r="N2" s="64">
        <v>0</v>
      </c>
      <c r="O2" s="64">
        <v>0</v>
      </c>
      <c r="P2" s="43">
        <v>57</v>
      </c>
      <c r="Q2" s="43">
        <v>3</v>
      </c>
      <c r="R2" s="43">
        <v>0.82</v>
      </c>
      <c r="S2" s="43">
        <v>0.04</v>
      </c>
      <c r="T2" s="43">
        <v>56</v>
      </c>
      <c r="U2" s="65">
        <f>(243+518)/2</f>
        <v>380.5</v>
      </c>
      <c r="V2" s="65">
        <f>(2657+179+219)/7</f>
        <v>436.42857142857144</v>
      </c>
      <c r="W2" s="65">
        <v>0</v>
      </c>
      <c r="X2" s="65">
        <f>(463+288+337+238+390+446)/6</f>
        <v>360.33333333333331</v>
      </c>
      <c r="Y2" s="65">
        <v>0</v>
      </c>
      <c r="Z2" s="65">
        <f>1254/2</f>
        <v>627</v>
      </c>
      <c r="AA2" s="66">
        <v>1</v>
      </c>
      <c r="AB2" s="66">
        <v>0</v>
      </c>
      <c r="AC2" s="66">
        <v>1</v>
      </c>
      <c r="AD2" s="66">
        <v>1</v>
      </c>
      <c r="AE2" s="66">
        <v>0</v>
      </c>
      <c r="AF2" s="66">
        <v>1</v>
      </c>
      <c r="AG2" s="1">
        <v>0.39973999999999998</v>
      </c>
      <c r="AH2" s="41">
        <v>-2.5016600000000002</v>
      </c>
      <c r="AI2">
        <f>LN(AG2)</f>
        <v>-0.91694094321574138</v>
      </c>
      <c r="AJ2">
        <f>LN(F2)</f>
        <v>2.2159460103306459</v>
      </c>
      <c r="AK2">
        <f>LOG10(AG2)</f>
        <v>-0.3982223918697595</v>
      </c>
      <c r="AL2">
        <f>LOG10(F2)</f>
        <v>0.96237312448212575</v>
      </c>
    </row>
    <row r="3" spans="1:38" ht="40.799999999999997" thickBot="1" x14ac:dyDescent="0.35">
      <c r="A3" s="57" t="s">
        <v>1</v>
      </c>
      <c r="B3" s="1" t="s">
        <v>61</v>
      </c>
      <c r="C3" s="1">
        <v>24.15</v>
      </c>
      <c r="D3" s="1">
        <v>24.15</v>
      </c>
      <c r="E3" s="1">
        <v>8.0680000000000002E-2</v>
      </c>
      <c r="F3" s="1">
        <v>1.08704</v>
      </c>
      <c r="G3" s="1">
        <v>2.068E-2</v>
      </c>
      <c r="H3" s="1">
        <v>1.08704</v>
      </c>
      <c r="I3" s="64">
        <v>12</v>
      </c>
      <c r="J3" s="64">
        <v>6</v>
      </c>
      <c r="K3" s="64">
        <v>3</v>
      </c>
      <c r="L3" s="64">
        <v>1</v>
      </c>
      <c r="M3" s="64">
        <v>173.8</v>
      </c>
      <c r="N3" s="64">
        <v>54</v>
      </c>
      <c r="O3" s="64">
        <v>54</v>
      </c>
      <c r="P3" s="43">
        <v>32</v>
      </c>
      <c r="Q3" s="43">
        <v>7</v>
      </c>
      <c r="R3" s="43">
        <v>1.1200000000000001</v>
      </c>
      <c r="S3" s="43">
        <v>0.25</v>
      </c>
      <c r="T3" s="43">
        <v>94</v>
      </c>
      <c r="U3" s="65">
        <v>1000</v>
      </c>
      <c r="V3" s="65">
        <f>(195+335+343+391+370)/7</f>
        <v>233.42857142857142</v>
      </c>
      <c r="W3" s="65">
        <f>(491+137)/2</f>
        <v>314</v>
      </c>
      <c r="X3" s="65">
        <f>(277+201+367+144+412+370)/6</f>
        <v>295.16666666666669</v>
      </c>
      <c r="Y3" s="65">
        <f>370*2/3</f>
        <v>246.66666666666666</v>
      </c>
      <c r="Z3" s="67">
        <f>1630/2</f>
        <v>815</v>
      </c>
      <c r="AA3" s="66">
        <v>2</v>
      </c>
      <c r="AB3" s="66">
        <v>1</v>
      </c>
      <c r="AC3" s="66">
        <v>2</v>
      </c>
      <c r="AD3" s="66">
        <v>2</v>
      </c>
      <c r="AE3" s="66">
        <v>1</v>
      </c>
      <c r="AF3" s="66">
        <v>6</v>
      </c>
      <c r="AG3" s="4">
        <v>8.4629999999999997E-2</v>
      </c>
      <c r="AH3" s="44">
        <v>-11.81682</v>
      </c>
      <c r="AI3">
        <f t="shared" ref="AI3:AI20" si="0">LN(AG3)</f>
        <v>-2.4694664653001226</v>
      </c>
      <c r="AJ3">
        <f t="shared" ref="AJ3:AJ20" si="1">LN(F3)</f>
        <v>8.3458405990082044E-2</v>
      </c>
      <c r="AK3">
        <f t="shared" ref="AK3:AK20" si="2">LOG10(AG3)</f>
        <v>-1.0724756591249713</v>
      </c>
      <c r="AL3">
        <f t="shared" ref="AL3:AL20" si="3">LOG10(F3)</f>
        <v>3.624552518993393E-2</v>
      </c>
    </row>
    <row r="4" spans="1:38" ht="40.799999999999997" thickBot="1" x14ac:dyDescent="0.35">
      <c r="A4" s="57" t="s">
        <v>2</v>
      </c>
      <c r="B4" s="1" t="s">
        <v>61</v>
      </c>
      <c r="C4" s="1">
        <v>19.27</v>
      </c>
      <c r="D4" s="1">
        <v>19.27</v>
      </c>
      <c r="E4" s="1">
        <v>2.37513</v>
      </c>
      <c r="F4" s="1">
        <v>1.5631900000000001</v>
      </c>
      <c r="G4" s="1">
        <v>2.6460000000000001E-2</v>
      </c>
      <c r="H4" s="1">
        <v>1.5631900000000001</v>
      </c>
      <c r="I4" s="64">
        <v>27</v>
      </c>
      <c r="J4" s="64">
        <v>23</v>
      </c>
      <c r="K4" s="64">
        <v>15</v>
      </c>
      <c r="L4" s="64">
        <v>2</v>
      </c>
      <c r="M4" s="64">
        <v>137.6</v>
      </c>
      <c r="N4" s="64">
        <v>53.8</v>
      </c>
      <c r="O4" s="64">
        <v>53.8</v>
      </c>
      <c r="P4" s="43">
        <v>57</v>
      </c>
      <c r="Q4" s="43">
        <v>3</v>
      </c>
      <c r="R4" s="43">
        <v>0.82</v>
      </c>
      <c r="S4" s="43">
        <v>0.04</v>
      </c>
      <c r="T4" s="43">
        <v>56</v>
      </c>
      <c r="U4" s="65">
        <v>1000</v>
      </c>
      <c r="V4" s="65">
        <f>(807+559+954+758+649+689+617)/7</f>
        <v>719</v>
      </c>
      <c r="W4" s="65">
        <f>384/2</f>
        <v>192</v>
      </c>
      <c r="X4" s="65">
        <v>0</v>
      </c>
      <c r="Y4" s="65">
        <f>2423/3</f>
        <v>807.66666666666663</v>
      </c>
      <c r="Z4" s="65">
        <f>1423/2</f>
        <v>711.5</v>
      </c>
      <c r="AA4" s="66">
        <v>2</v>
      </c>
      <c r="AB4" s="66">
        <v>2</v>
      </c>
      <c r="AC4" s="66">
        <v>1</v>
      </c>
      <c r="AD4" s="66">
        <v>0</v>
      </c>
      <c r="AE4" s="66">
        <v>1</v>
      </c>
      <c r="AF4" s="66">
        <v>1</v>
      </c>
      <c r="AG4" s="1">
        <v>0.64429999999999998</v>
      </c>
      <c r="AH4" s="41">
        <v>-1.5520700000000001</v>
      </c>
      <c r="AI4">
        <f t="shared" si="0"/>
        <v>-0.43959082283754031</v>
      </c>
      <c r="AJ4">
        <f t="shared" si="1"/>
        <v>0.4467286051518356</v>
      </c>
      <c r="AK4">
        <f t="shared" si="2"/>
        <v>-0.19091186865365373</v>
      </c>
      <c r="AL4">
        <f t="shared" si="3"/>
        <v>0.19401176812577881</v>
      </c>
    </row>
    <row r="5" spans="1:38" ht="40.799999999999997" thickBot="1" x14ac:dyDescent="0.35">
      <c r="A5" s="57" t="s">
        <v>3</v>
      </c>
      <c r="B5" s="1" t="s">
        <v>61</v>
      </c>
      <c r="C5" s="1">
        <v>28.44</v>
      </c>
      <c r="D5" s="1">
        <v>28.44</v>
      </c>
      <c r="E5" s="1">
        <v>4.15E-3</v>
      </c>
      <c r="F5" s="1">
        <v>0.80305000000000004</v>
      </c>
      <c r="G5" s="1">
        <v>2.2839999999999999E-2</v>
      </c>
      <c r="H5" s="1">
        <v>-1.24525</v>
      </c>
      <c r="I5" s="64">
        <v>22</v>
      </c>
      <c r="J5" s="64">
        <v>6</v>
      </c>
      <c r="K5" s="64">
        <v>3</v>
      </c>
      <c r="L5" s="64">
        <v>1</v>
      </c>
      <c r="M5" s="64">
        <v>181</v>
      </c>
      <c r="N5" s="64">
        <v>49</v>
      </c>
      <c r="O5" s="64">
        <v>49</v>
      </c>
      <c r="P5" s="43">
        <v>32</v>
      </c>
      <c r="Q5" s="43">
        <v>7</v>
      </c>
      <c r="R5" s="43">
        <v>1.1200000000000001</v>
      </c>
      <c r="S5" s="43">
        <v>0.25</v>
      </c>
      <c r="T5" s="47">
        <v>94</v>
      </c>
      <c r="U5" s="65">
        <f>(281+485)/2</f>
        <v>383</v>
      </c>
      <c r="V5" s="65">
        <f>6401/7</f>
        <v>914.42857142857144</v>
      </c>
      <c r="W5" s="65">
        <v>707</v>
      </c>
      <c r="X5" s="65">
        <f>(828+598+597+496+666+1000)/6</f>
        <v>697.5</v>
      </c>
      <c r="Y5" s="65">
        <f>243/3</f>
        <v>81</v>
      </c>
      <c r="Z5" s="65">
        <f>1895/2</f>
        <v>947.5</v>
      </c>
      <c r="AA5" s="66">
        <v>1</v>
      </c>
      <c r="AB5" s="66">
        <v>1</v>
      </c>
      <c r="AC5" s="66">
        <v>1</v>
      </c>
      <c r="AD5" s="66">
        <v>1</v>
      </c>
      <c r="AE5" s="66">
        <v>0</v>
      </c>
      <c r="AF5" s="66">
        <v>2</v>
      </c>
      <c r="AG5" s="1">
        <v>0.25773000000000001</v>
      </c>
      <c r="AH5" s="41">
        <v>-3.88002</v>
      </c>
      <c r="AI5">
        <f t="shared" si="0"/>
        <v>-1.3558427536640623</v>
      </c>
      <c r="AJ5">
        <f t="shared" si="1"/>
        <v>-0.21933830047323075</v>
      </c>
      <c r="AK5">
        <f t="shared" si="2"/>
        <v>-0.58883502624481221</v>
      </c>
      <c r="AL5">
        <f t="shared" si="3"/>
        <v>-9.5257413565561527E-2</v>
      </c>
    </row>
    <row r="6" spans="1:38" ht="40.799999999999997" thickBot="1" x14ac:dyDescent="0.35">
      <c r="A6" s="58" t="s">
        <v>4</v>
      </c>
      <c r="B6" s="2" t="s">
        <v>61</v>
      </c>
      <c r="C6" s="6">
        <v>33.159999999999997</v>
      </c>
      <c r="D6" s="6">
        <v>33.159999999999997</v>
      </c>
      <c r="E6" s="6">
        <v>1.6000000000000001E-4</v>
      </c>
      <c r="F6" s="6">
        <v>12.292249999999999</v>
      </c>
      <c r="G6" s="6">
        <v>1.66709</v>
      </c>
      <c r="H6" s="2">
        <v>12.292249999999999</v>
      </c>
      <c r="I6" s="64">
        <v>11</v>
      </c>
      <c r="J6" s="64">
        <v>3</v>
      </c>
      <c r="K6" s="64">
        <v>2</v>
      </c>
      <c r="L6" s="64">
        <v>1</v>
      </c>
      <c r="M6" s="64">
        <v>133.4</v>
      </c>
      <c r="N6" s="64">
        <v>53.7</v>
      </c>
      <c r="O6" s="64">
        <v>53.7</v>
      </c>
      <c r="P6" s="43">
        <v>26</v>
      </c>
      <c r="Q6" s="43">
        <v>10</v>
      </c>
      <c r="R6" s="43">
        <v>0.41</v>
      </c>
      <c r="S6" s="43">
        <v>0.16</v>
      </c>
      <c r="T6" s="47">
        <v>80</v>
      </c>
      <c r="U6" s="65">
        <v>0</v>
      </c>
      <c r="V6" s="65">
        <f>(347+435+604+345+401+460)/7</f>
        <v>370.28571428571428</v>
      </c>
      <c r="W6" s="65">
        <f>115/2</f>
        <v>57.5</v>
      </c>
      <c r="X6" s="65">
        <v>0</v>
      </c>
      <c r="Y6" s="65">
        <v>0</v>
      </c>
      <c r="Z6" s="65">
        <f>1847/2</f>
        <v>923.5</v>
      </c>
      <c r="AA6" s="66">
        <v>0</v>
      </c>
      <c r="AB6" s="66">
        <v>1</v>
      </c>
      <c r="AC6" s="66">
        <v>1</v>
      </c>
      <c r="AD6" s="66">
        <v>0</v>
      </c>
      <c r="AE6" s="66">
        <v>0</v>
      </c>
      <c r="AF6" s="66">
        <v>2</v>
      </c>
      <c r="AG6" s="1">
        <v>1.5909599999999999</v>
      </c>
      <c r="AH6" s="41">
        <v>1.5909599999999999</v>
      </c>
      <c r="AI6">
        <f t="shared" si="0"/>
        <v>0.46433760761910869</v>
      </c>
      <c r="AJ6">
        <f t="shared" si="1"/>
        <v>2.5089689824929153</v>
      </c>
      <c r="AK6">
        <f t="shared" si="2"/>
        <v>0.20165926072913626</v>
      </c>
      <c r="AL6">
        <f t="shared" si="3"/>
        <v>1.0896313843630896</v>
      </c>
    </row>
    <row r="7" spans="1:38" ht="40.799999999999997" thickBot="1" x14ac:dyDescent="0.35">
      <c r="A7" s="59" t="s">
        <v>5</v>
      </c>
      <c r="B7" s="3" t="s">
        <v>61</v>
      </c>
      <c r="C7" s="3">
        <v>26.05</v>
      </c>
      <c r="D7" s="3">
        <v>26.05</v>
      </c>
      <c r="E7" s="3">
        <v>2.1739999999999999E-2</v>
      </c>
      <c r="F7" s="3">
        <v>1.7115100000000001</v>
      </c>
      <c r="G7" s="3">
        <v>3.7359999999999997E-2</v>
      </c>
      <c r="H7" s="3">
        <v>1.7115100000000001</v>
      </c>
      <c r="I7" s="64">
        <v>2</v>
      </c>
      <c r="J7" s="64">
        <v>1</v>
      </c>
      <c r="K7" s="64">
        <v>1</v>
      </c>
      <c r="L7" s="64">
        <v>1</v>
      </c>
      <c r="M7" s="64">
        <v>160</v>
      </c>
      <c r="N7" s="64">
        <v>46.8</v>
      </c>
      <c r="O7" s="64">
        <v>46.8</v>
      </c>
      <c r="P7" s="43">
        <v>26</v>
      </c>
      <c r="Q7" s="43">
        <v>10</v>
      </c>
      <c r="R7" s="43">
        <v>0.41</v>
      </c>
      <c r="S7" s="43">
        <v>0.16</v>
      </c>
      <c r="T7" s="47">
        <v>80</v>
      </c>
      <c r="U7" s="67">
        <f>(224+370)/2</f>
        <v>297</v>
      </c>
      <c r="V7" s="65">
        <f>(314+486+586+951+430+364+370)/7</f>
        <v>500.14285714285717</v>
      </c>
      <c r="W7" s="65">
        <f>(955+459)/2</f>
        <v>707</v>
      </c>
      <c r="X7" s="65">
        <v>0</v>
      </c>
      <c r="Y7" s="65">
        <f>(191+370+370)/3</f>
        <v>310.33333333333331</v>
      </c>
      <c r="Z7" s="65">
        <f>1436/2</f>
        <v>718</v>
      </c>
      <c r="AA7" s="66">
        <v>1</v>
      </c>
      <c r="AB7" s="66">
        <v>1</v>
      </c>
      <c r="AC7" s="66">
        <v>2</v>
      </c>
      <c r="AD7" s="66">
        <v>0</v>
      </c>
      <c r="AE7" s="66">
        <v>1</v>
      </c>
      <c r="AF7" s="66">
        <v>2</v>
      </c>
      <c r="AG7" s="5">
        <v>3.3E-4</v>
      </c>
      <c r="AH7" s="48">
        <v>-3024.7626399999999</v>
      </c>
      <c r="AI7">
        <f t="shared" si="0"/>
        <v>-8.0164179035037488</v>
      </c>
      <c r="AJ7">
        <f t="shared" si="1"/>
        <v>0.53737602179896249</v>
      </c>
      <c r="AK7">
        <f t="shared" si="2"/>
        <v>-3.4814860601221125</v>
      </c>
      <c r="AL7">
        <f t="shared" si="3"/>
        <v>0.23337944097441096</v>
      </c>
    </row>
    <row r="8" spans="1:38" ht="40.799999999999997" thickBot="1" x14ac:dyDescent="0.35">
      <c r="A8" s="2" t="s">
        <v>6</v>
      </c>
      <c r="B8" s="2" t="s">
        <v>61</v>
      </c>
      <c r="C8" s="6">
        <v>28.02</v>
      </c>
      <c r="D8" s="6">
        <v>28.02</v>
      </c>
      <c r="E8" s="6">
        <v>8.6800000000000002E-3</v>
      </c>
      <c r="F8" s="6">
        <v>5.7555399999999999</v>
      </c>
      <c r="G8" s="6">
        <v>1.0556099999999999</v>
      </c>
      <c r="H8" s="2">
        <v>5.7555399999999999</v>
      </c>
      <c r="I8" s="64">
        <v>2</v>
      </c>
      <c r="J8" s="64">
        <v>3</v>
      </c>
      <c r="K8" s="64">
        <v>0</v>
      </c>
      <c r="L8" s="64">
        <v>1</v>
      </c>
      <c r="M8" s="64">
        <v>51</v>
      </c>
      <c r="N8" s="64">
        <v>55.8</v>
      </c>
      <c r="O8" s="64">
        <v>0</v>
      </c>
      <c r="P8" s="43">
        <v>26</v>
      </c>
      <c r="Q8" s="43">
        <v>10</v>
      </c>
      <c r="R8" s="43">
        <v>0.41</v>
      </c>
      <c r="S8" s="43">
        <v>0.16</v>
      </c>
      <c r="T8" s="47">
        <v>80</v>
      </c>
      <c r="U8" s="65">
        <v>94.5</v>
      </c>
      <c r="V8" s="65">
        <f>(210+251+177+199)/7</f>
        <v>119.57142857142857</v>
      </c>
      <c r="W8" s="65">
        <f>(371+117)/2</f>
        <v>244</v>
      </c>
      <c r="X8" s="65">
        <f>(129+143)/6</f>
        <v>45.333333333333336</v>
      </c>
      <c r="Y8" s="65">
        <v>0</v>
      </c>
      <c r="Z8" s="65">
        <v>650</v>
      </c>
      <c r="AA8" s="66">
        <v>1</v>
      </c>
      <c r="AB8" s="66">
        <v>1</v>
      </c>
      <c r="AC8" s="66">
        <v>1</v>
      </c>
      <c r="AD8" s="66">
        <v>0</v>
      </c>
      <c r="AE8" s="66">
        <v>0</v>
      </c>
      <c r="AF8" s="66">
        <v>2</v>
      </c>
      <c r="AG8" s="1">
        <v>0.32680999999999999</v>
      </c>
      <c r="AH8" s="41">
        <v>-3.05992</v>
      </c>
      <c r="AI8">
        <f t="shared" si="0"/>
        <v>-1.1183763167092502</v>
      </c>
      <c r="AJ8">
        <f t="shared" si="1"/>
        <v>1.750162869222863</v>
      </c>
      <c r="AK8">
        <f t="shared" si="2"/>
        <v>-0.48570466303811094</v>
      </c>
      <c r="AL8">
        <f t="shared" si="3"/>
        <v>0.7600860765354519</v>
      </c>
    </row>
    <row r="9" spans="1:38" ht="40.799999999999997" thickBot="1" x14ac:dyDescent="0.35">
      <c r="A9" s="1" t="s">
        <v>7</v>
      </c>
      <c r="B9" s="1" t="s">
        <v>61</v>
      </c>
      <c r="C9" s="1">
        <v>24.86</v>
      </c>
      <c r="D9" s="1">
        <v>24.86</v>
      </c>
      <c r="E9" s="1">
        <v>7.7119999999999994E-2</v>
      </c>
      <c r="F9" s="1">
        <v>0.90156000000000003</v>
      </c>
      <c r="G9" s="1">
        <v>1.2749999999999999E-2</v>
      </c>
      <c r="H9" s="1">
        <v>-1.1091899999999999</v>
      </c>
      <c r="I9" s="64">
        <v>1</v>
      </c>
      <c r="J9" s="64">
        <v>1</v>
      </c>
      <c r="K9" s="64">
        <v>0</v>
      </c>
      <c r="L9" s="64">
        <v>1</v>
      </c>
      <c r="M9" s="64">
        <v>101</v>
      </c>
      <c r="N9" s="64">
        <v>46.3</v>
      </c>
      <c r="O9" s="64">
        <v>0</v>
      </c>
      <c r="P9" s="43">
        <v>26</v>
      </c>
      <c r="Q9" s="43">
        <v>10</v>
      </c>
      <c r="R9" s="43">
        <v>0.41</v>
      </c>
      <c r="S9" s="43">
        <v>0.16</v>
      </c>
      <c r="T9" s="47">
        <v>80</v>
      </c>
      <c r="U9" s="65">
        <f>(465+862)/2</f>
        <v>663.5</v>
      </c>
      <c r="V9" s="65">
        <f>(277+599+538+669+379+286)/7</f>
        <v>392.57142857142856</v>
      </c>
      <c r="W9" s="65">
        <v>0</v>
      </c>
      <c r="X9" s="65">
        <v>0</v>
      </c>
      <c r="Y9" s="65">
        <f>2659/3</f>
        <v>886.33333333333337</v>
      </c>
      <c r="Z9" s="65">
        <v>500</v>
      </c>
      <c r="AA9" s="66">
        <v>1</v>
      </c>
      <c r="AB9" s="66">
        <v>1</v>
      </c>
      <c r="AC9" s="66">
        <v>0</v>
      </c>
      <c r="AD9" s="66">
        <v>0</v>
      </c>
      <c r="AE9" s="66">
        <v>1</v>
      </c>
      <c r="AF9" s="66">
        <v>1</v>
      </c>
      <c r="AG9" s="4">
        <v>0.15708</v>
      </c>
      <c r="AH9" s="44">
        <v>-6.3661199999999996</v>
      </c>
      <c r="AI9">
        <f t="shared" si="0"/>
        <v>-1.8510000492723282</v>
      </c>
      <c r="AJ9">
        <f t="shared" si="1"/>
        <v>-0.10362868281306747</v>
      </c>
      <c r="AK9">
        <f t="shared" si="2"/>
        <v>-0.80387910740161939</v>
      </c>
      <c r="AL9">
        <f t="shared" si="3"/>
        <v>-4.5005365112617553E-2</v>
      </c>
    </row>
    <row r="10" spans="1:38" ht="40.799999999999997" thickBot="1" x14ac:dyDescent="0.35">
      <c r="A10" s="1" t="s">
        <v>8</v>
      </c>
      <c r="B10" s="1" t="s">
        <v>61</v>
      </c>
      <c r="C10" s="1">
        <v>28.17</v>
      </c>
      <c r="D10" s="1">
        <v>28.17</v>
      </c>
      <c r="E10" s="1">
        <v>7.79E-3</v>
      </c>
      <c r="F10" s="1">
        <v>3.18289</v>
      </c>
      <c r="G10" s="1">
        <v>7.7030000000000001E-2</v>
      </c>
      <c r="H10" s="1">
        <v>3.18289</v>
      </c>
      <c r="I10" s="64">
        <v>11</v>
      </c>
      <c r="J10" s="64">
        <v>5</v>
      </c>
      <c r="K10" s="64">
        <v>2</v>
      </c>
      <c r="L10" s="64">
        <v>1</v>
      </c>
      <c r="M10" s="64">
        <v>96</v>
      </c>
      <c r="N10" s="64">
        <v>52</v>
      </c>
      <c r="O10" s="64">
        <v>47.1</v>
      </c>
      <c r="P10" s="43">
        <v>32</v>
      </c>
      <c r="Q10" s="43">
        <v>7</v>
      </c>
      <c r="R10" s="43">
        <v>1.1200000000000001</v>
      </c>
      <c r="S10" s="43">
        <v>0.25</v>
      </c>
      <c r="T10" s="47">
        <v>94</v>
      </c>
      <c r="U10" s="65">
        <f>(483+908)/2</f>
        <v>695.5</v>
      </c>
      <c r="V10" s="65">
        <f>(858+479+224+309+219+179)/7</f>
        <v>324</v>
      </c>
      <c r="W10" s="65">
        <f>(336+158)/2</f>
        <v>247</v>
      </c>
      <c r="X10" s="65">
        <f>(839+510+989+3000)/6</f>
        <v>889.66666666666663</v>
      </c>
      <c r="Y10" s="65">
        <f>139/3</f>
        <v>46.333333333333336</v>
      </c>
      <c r="Z10" s="67">
        <f>1665/2</f>
        <v>832.5</v>
      </c>
      <c r="AA10" s="66">
        <v>1</v>
      </c>
      <c r="AB10" s="66">
        <v>1</v>
      </c>
      <c r="AC10" s="66">
        <v>2</v>
      </c>
      <c r="AD10" s="66">
        <v>1</v>
      </c>
      <c r="AE10" s="66">
        <v>0</v>
      </c>
      <c r="AF10" s="66">
        <v>3</v>
      </c>
      <c r="AG10" s="1">
        <v>0.79310000000000003</v>
      </c>
      <c r="AH10" s="41">
        <v>-1.26088</v>
      </c>
      <c r="AI10">
        <f t="shared" si="0"/>
        <v>-0.23180596189286309</v>
      </c>
      <c r="AJ10">
        <f t="shared" si="1"/>
        <v>1.1577895891102712</v>
      </c>
      <c r="AK10">
        <f t="shared" si="2"/>
        <v>-0.10067205012234591</v>
      </c>
      <c r="AL10">
        <f t="shared" si="3"/>
        <v>0.50282162975562394</v>
      </c>
    </row>
    <row r="11" spans="1:38" ht="40.799999999999997" thickBot="1" x14ac:dyDescent="0.35">
      <c r="A11" s="1" t="s">
        <v>9</v>
      </c>
      <c r="B11" s="1" t="s">
        <v>61</v>
      </c>
      <c r="C11" s="1">
        <v>29.28</v>
      </c>
      <c r="D11" s="1">
        <v>29.28</v>
      </c>
      <c r="E11" s="1">
        <v>3.62E-3</v>
      </c>
      <c r="F11" s="1">
        <v>1.5646100000000001</v>
      </c>
      <c r="G11" s="1">
        <v>4.8719999999999999E-2</v>
      </c>
      <c r="H11" s="1">
        <v>1.5646100000000001</v>
      </c>
      <c r="I11" s="64">
        <v>6</v>
      </c>
      <c r="J11" s="64">
        <v>2</v>
      </c>
      <c r="K11" s="64">
        <v>0</v>
      </c>
      <c r="L11" s="64">
        <v>1</v>
      </c>
      <c r="M11" s="64">
        <v>162</v>
      </c>
      <c r="N11" s="64">
        <v>49.3</v>
      </c>
      <c r="O11" s="64">
        <v>0</v>
      </c>
      <c r="P11" s="43">
        <v>2</v>
      </c>
      <c r="Q11" s="43">
        <v>3</v>
      </c>
      <c r="R11" s="43">
        <v>0.41</v>
      </c>
      <c r="S11" s="43">
        <v>0.62</v>
      </c>
      <c r="T11" s="43">
        <v>348</v>
      </c>
      <c r="U11" s="65">
        <f>(593+418)/2</f>
        <v>505.5</v>
      </c>
      <c r="V11" s="65">
        <f>(673+724+2742+957+893)/7</f>
        <v>855.57142857142856</v>
      </c>
      <c r="W11" s="65">
        <v>830</v>
      </c>
      <c r="X11" s="65">
        <v>1000</v>
      </c>
      <c r="Y11" s="65">
        <f>131/3</f>
        <v>43.666666666666664</v>
      </c>
      <c r="Z11" s="65">
        <f>1479/2</f>
        <v>739.5</v>
      </c>
      <c r="AA11" s="66">
        <v>2</v>
      </c>
      <c r="AB11" s="66">
        <v>1</v>
      </c>
      <c r="AC11" s="66">
        <v>2</v>
      </c>
      <c r="AD11" s="66">
        <v>1</v>
      </c>
      <c r="AE11" s="66">
        <v>0</v>
      </c>
      <c r="AF11" s="66">
        <v>2</v>
      </c>
      <c r="AG11" s="1">
        <v>0.69142999999999999</v>
      </c>
      <c r="AH11" s="41">
        <v>-1.4462699999999999</v>
      </c>
      <c r="AI11">
        <f t="shared" si="0"/>
        <v>-0.36899336221320489</v>
      </c>
      <c r="AJ11">
        <f t="shared" si="1"/>
        <v>0.44763659165836328</v>
      </c>
      <c r="AK11">
        <f t="shared" si="2"/>
        <v>-0.16025178106812277</v>
      </c>
      <c r="AL11">
        <f t="shared" si="3"/>
        <v>0.19440610165520639</v>
      </c>
    </row>
    <row r="12" spans="1:38" ht="40.799999999999997" thickBot="1" x14ac:dyDescent="0.35">
      <c r="A12" s="1" t="s">
        <v>10</v>
      </c>
      <c r="B12" s="1" t="s">
        <v>61</v>
      </c>
      <c r="C12" s="1">
        <v>26.17</v>
      </c>
      <c r="D12" s="1">
        <v>26.17</v>
      </c>
      <c r="E12" s="1">
        <v>3.1210000000000002E-2</v>
      </c>
      <c r="F12" s="1">
        <v>2.2757100000000001</v>
      </c>
      <c r="G12" s="1">
        <v>0.12881000000000001</v>
      </c>
      <c r="H12" s="1">
        <v>2.2757100000000001</v>
      </c>
      <c r="I12" s="64">
        <v>5</v>
      </c>
      <c r="J12" s="64">
        <v>4</v>
      </c>
      <c r="K12" s="64">
        <v>1</v>
      </c>
      <c r="L12" s="64">
        <v>1</v>
      </c>
      <c r="M12" s="64">
        <v>219</v>
      </c>
      <c r="N12" s="64">
        <v>57.5</v>
      </c>
      <c r="O12" s="64">
        <v>52.8</v>
      </c>
      <c r="P12" s="43">
        <v>53</v>
      </c>
      <c r="Q12" s="43">
        <v>4</v>
      </c>
      <c r="R12" s="43">
        <v>1.28</v>
      </c>
      <c r="S12" s="43">
        <v>0.1</v>
      </c>
      <c r="T12" s="47">
        <v>294</v>
      </c>
      <c r="U12" s="65">
        <v>1000</v>
      </c>
      <c r="V12" s="65">
        <f>(566+464+815+929+1831+370)/7</f>
        <v>710.71428571428567</v>
      </c>
      <c r="W12" s="65">
        <v>502</v>
      </c>
      <c r="X12" s="65">
        <f>(4799+889)/6</f>
        <v>948</v>
      </c>
      <c r="Y12" s="65">
        <f>534*2/3</f>
        <v>356</v>
      </c>
      <c r="Z12" s="65">
        <f>1278/2</f>
        <v>639</v>
      </c>
      <c r="AA12" s="66">
        <v>2</v>
      </c>
      <c r="AB12" s="66">
        <v>2</v>
      </c>
      <c r="AC12" s="66">
        <v>1</v>
      </c>
      <c r="AD12" s="66">
        <v>1</v>
      </c>
      <c r="AE12" s="66">
        <v>1</v>
      </c>
      <c r="AF12" s="66">
        <v>1</v>
      </c>
      <c r="AG12" s="4">
        <v>0.18856999999999999</v>
      </c>
      <c r="AH12" s="44">
        <v>-5.3029500000000001</v>
      </c>
      <c r="AI12">
        <f t="shared" si="0"/>
        <v>-1.6682859882433059</v>
      </c>
      <c r="AJ12">
        <f t="shared" si="1"/>
        <v>0.82229209162569927</v>
      </c>
      <c r="AK12">
        <f t="shared" si="2"/>
        <v>-0.72452739893058093</v>
      </c>
      <c r="AL12">
        <f t="shared" si="3"/>
        <v>0.35711691790572431</v>
      </c>
    </row>
    <row r="13" spans="1:38" ht="40.799999999999997" thickBot="1" x14ac:dyDescent="0.35">
      <c r="A13" s="3" t="s">
        <v>11</v>
      </c>
      <c r="B13" s="3" t="s">
        <v>61</v>
      </c>
      <c r="C13" s="3">
        <v>30.37</v>
      </c>
      <c r="D13" s="3">
        <v>30.37</v>
      </c>
      <c r="E13" s="3">
        <v>1.6999999999999999E-3</v>
      </c>
      <c r="F13" s="3">
        <v>3.1654800000000001</v>
      </c>
      <c r="G13" s="3">
        <v>0.13611999999999999</v>
      </c>
      <c r="H13" s="3">
        <v>3.1654800000000001</v>
      </c>
      <c r="I13" s="64">
        <v>3</v>
      </c>
      <c r="J13" s="64">
        <v>3</v>
      </c>
      <c r="K13" s="64">
        <v>0</v>
      </c>
      <c r="L13" s="64">
        <v>1</v>
      </c>
      <c r="M13" s="64">
        <v>137</v>
      </c>
      <c r="N13" s="64">
        <v>44.5</v>
      </c>
      <c r="O13" s="64">
        <v>0</v>
      </c>
      <c r="P13" s="43">
        <v>53</v>
      </c>
      <c r="Q13" s="43">
        <v>4</v>
      </c>
      <c r="R13" s="43">
        <v>1.28</v>
      </c>
      <c r="S13" s="43">
        <v>0.1</v>
      </c>
      <c r="T13" s="47">
        <v>294</v>
      </c>
      <c r="U13" s="65">
        <f>1578/2</f>
        <v>789</v>
      </c>
      <c r="V13" s="65">
        <f>(378+255+693+433+472+631+370)/7</f>
        <v>461.71428571428572</v>
      </c>
      <c r="W13" s="65">
        <v>116.5</v>
      </c>
      <c r="X13" s="65">
        <f>142/6</f>
        <v>23.666666666666668</v>
      </c>
      <c r="Y13" s="65">
        <v>0</v>
      </c>
      <c r="Z13" s="65">
        <f>1714/2</f>
        <v>857</v>
      </c>
      <c r="AA13" s="66">
        <v>1</v>
      </c>
      <c r="AB13" s="66">
        <v>2</v>
      </c>
      <c r="AC13" s="66">
        <v>1</v>
      </c>
      <c r="AD13" s="66">
        <v>0</v>
      </c>
      <c r="AE13" s="66">
        <v>0</v>
      </c>
      <c r="AF13" s="66">
        <v>1</v>
      </c>
      <c r="AG13" s="3">
        <v>0.26582</v>
      </c>
      <c r="AH13" s="50">
        <v>-3.7618900000000002</v>
      </c>
      <c r="AI13">
        <f t="shared" si="0"/>
        <v>-1.3249358909889504</v>
      </c>
      <c r="AJ13">
        <f t="shared" si="1"/>
        <v>1.1523047028648836</v>
      </c>
      <c r="AK13">
        <f t="shared" si="2"/>
        <v>-0.5754123463320695</v>
      </c>
      <c r="AL13">
        <f t="shared" si="3"/>
        <v>0.50043957392538518</v>
      </c>
    </row>
    <row r="14" spans="1:38" ht="40.799999999999997" thickBot="1" x14ac:dyDescent="0.35">
      <c r="A14" s="2" t="s">
        <v>12</v>
      </c>
      <c r="B14" s="2" t="s">
        <v>61</v>
      </c>
      <c r="C14" s="6">
        <v>33.71</v>
      </c>
      <c r="D14" s="6">
        <v>33.71</v>
      </c>
      <c r="E14" s="6">
        <v>1.4999999999999999E-4</v>
      </c>
      <c r="F14" s="6">
        <v>4.2689199999999996</v>
      </c>
      <c r="G14" s="6">
        <v>0.89886999999999995</v>
      </c>
      <c r="H14" s="2">
        <v>4.2689199999999996</v>
      </c>
      <c r="I14" s="64">
        <v>8</v>
      </c>
      <c r="J14" s="64">
        <v>3</v>
      </c>
      <c r="K14" s="64">
        <v>0</v>
      </c>
      <c r="L14" s="64">
        <v>1</v>
      </c>
      <c r="M14" s="64">
        <v>237</v>
      </c>
      <c r="N14" s="64">
        <v>48.8</v>
      </c>
      <c r="O14" s="64">
        <v>0</v>
      </c>
      <c r="P14" s="43">
        <v>53</v>
      </c>
      <c r="Q14" s="43">
        <v>4</v>
      </c>
      <c r="R14" s="43">
        <v>1.28</v>
      </c>
      <c r="S14" s="43">
        <v>0.1</v>
      </c>
      <c r="T14" s="47">
        <v>294</v>
      </c>
      <c r="U14" s="65">
        <f>175/2</f>
        <v>87.5</v>
      </c>
      <c r="V14" s="65">
        <f>(220+173+278)/7</f>
        <v>95.857142857142861</v>
      </c>
      <c r="W14" s="65">
        <v>0</v>
      </c>
      <c r="X14" s="65">
        <f>112/6</f>
        <v>18.666666666666668</v>
      </c>
      <c r="Y14" s="65">
        <v>0</v>
      </c>
      <c r="Z14" s="65">
        <v>500</v>
      </c>
      <c r="AA14" s="66">
        <v>1</v>
      </c>
      <c r="AB14" s="66">
        <v>0</v>
      </c>
      <c r="AC14" s="66">
        <v>0</v>
      </c>
      <c r="AD14" s="66">
        <v>0</v>
      </c>
      <c r="AE14" s="66">
        <v>0</v>
      </c>
      <c r="AF14" s="66">
        <v>1</v>
      </c>
      <c r="AG14" s="1">
        <v>0.56464000000000003</v>
      </c>
      <c r="AH14" s="41">
        <v>-1.7710399999999999</v>
      </c>
      <c r="AI14">
        <f t="shared" si="0"/>
        <v>-0.57156691905517709</v>
      </c>
      <c r="AJ14">
        <f t="shared" si="1"/>
        <v>1.4513608678485352</v>
      </c>
      <c r="AK14">
        <f t="shared" si="2"/>
        <v>-0.248228358984106</v>
      </c>
      <c r="AL14">
        <f t="shared" si="3"/>
        <v>0.63031801615693361</v>
      </c>
    </row>
    <row r="15" spans="1:38" ht="40.799999999999997" thickBot="1" x14ac:dyDescent="0.35">
      <c r="A15" s="1" t="s">
        <v>13</v>
      </c>
      <c r="B15" s="1" t="s">
        <v>61</v>
      </c>
      <c r="C15" s="1">
        <v>30.14</v>
      </c>
      <c r="D15" s="1">
        <v>30.14</v>
      </c>
      <c r="E15" s="1">
        <v>1.8400000000000001E-3</v>
      </c>
      <c r="F15" s="1">
        <v>2.2044199999999998</v>
      </c>
      <c r="G15" s="1">
        <v>0.13270999999999999</v>
      </c>
      <c r="H15" s="1">
        <v>2.2044199999999998</v>
      </c>
      <c r="I15" s="64">
        <v>5</v>
      </c>
      <c r="J15" s="64">
        <v>2</v>
      </c>
      <c r="K15" s="64">
        <v>0</v>
      </c>
      <c r="L15" s="64">
        <v>1</v>
      </c>
      <c r="M15" s="64">
        <v>60</v>
      </c>
      <c r="N15" s="64">
        <v>46.3</v>
      </c>
      <c r="O15" s="64">
        <v>0</v>
      </c>
      <c r="P15" s="43">
        <v>51</v>
      </c>
      <c r="Q15" s="43">
        <v>3</v>
      </c>
      <c r="R15" s="43">
        <v>0.82</v>
      </c>
      <c r="S15" s="43">
        <v>0.05</v>
      </c>
      <c r="T15" s="43">
        <v>154</v>
      </c>
      <c r="U15" s="65">
        <v>0</v>
      </c>
      <c r="V15" s="65">
        <f>211/7</f>
        <v>30.142857142857142</v>
      </c>
      <c r="W15" s="65">
        <f>268/2</f>
        <v>134</v>
      </c>
      <c r="X15" s="65">
        <v>0</v>
      </c>
      <c r="Y15" s="65">
        <v>0</v>
      </c>
      <c r="Z15" s="65">
        <f>903/2</f>
        <v>451.5</v>
      </c>
      <c r="AA15" s="66">
        <v>0</v>
      </c>
      <c r="AB15" s="66">
        <v>0</v>
      </c>
      <c r="AC15" s="66">
        <v>1</v>
      </c>
      <c r="AD15" s="66">
        <v>0</v>
      </c>
      <c r="AE15" s="66">
        <v>0</v>
      </c>
      <c r="AF15" s="66">
        <v>1</v>
      </c>
      <c r="AG15" s="1">
        <v>0.45896999999999999</v>
      </c>
      <c r="AH15" s="41">
        <v>-2.1787999999999998</v>
      </c>
      <c r="AI15">
        <f t="shared" si="0"/>
        <v>-0.77877043053473982</v>
      </c>
      <c r="AJ15">
        <f t="shared" si="1"/>
        <v>0.79046443574934966</v>
      </c>
      <c r="AK15">
        <f t="shared" si="2"/>
        <v>-0.3382157006506572</v>
      </c>
      <c r="AL15">
        <f t="shared" si="3"/>
        <v>0.3432943425867101</v>
      </c>
    </row>
    <row r="16" spans="1:38" ht="40.799999999999997" thickBot="1" x14ac:dyDescent="0.35">
      <c r="A16" s="1" t="s">
        <v>14</v>
      </c>
      <c r="B16" s="1" t="s">
        <v>61</v>
      </c>
      <c r="C16" s="1">
        <v>26.01</v>
      </c>
      <c r="D16" s="1">
        <v>26.01</v>
      </c>
      <c r="E16" s="1">
        <v>3.2210000000000003E-2</v>
      </c>
      <c r="F16" s="1">
        <v>1.59995</v>
      </c>
      <c r="G16" s="1">
        <v>0.13011</v>
      </c>
      <c r="H16" s="1">
        <v>1.59995</v>
      </c>
      <c r="I16" s="64">
        <v>20</v>
      </c>
      <c r="J16" s="64">
        <v>4</v>
      </c>
      <c r="K16" s="64">
        <v>4</v>
      </c>
      <c r="L16" s="64">
        <v>2</v>
      </c>
      <c r="M16" s="64">
        <v>240</v>
      </c>
      <c r="N16" s="64">
        <v>51.3</v>
      </c>
      <c r="O16" s="64">
        <v>51.3</v>
      </c>
      <c r="P16" s="43">
        <v>51</v>
      </c>
      <c r="Q16" s="43">
        <v>3</v>
      </c>
      <c r="R16" s="43">
        <v>0.82</v>
      </c>
      <c r="S16" s="43">
        <v>0.05</v>
      </c>
      <c r="T16" s="43">
        <v>154</v>
      </c>
      <c r="U16" s="65">
        <f>(407+711)/2</f>
        <v>559</v>
      </c>
      <c r="V16" s="65">
        <f>(159+215+344+536+309)/7</f>
        <v>223.28571428571428</v>
      </c>
      <c r="W16" s="65">
        <f>1756/2</f>
        <v>878</v>
      </c>
      <c r="X16" s="65">
        <v>0</v>
      </c>
      <c r="Y16" s="65">
        <f>117/2</f>
        <v>58.5</v>
      </c>
      <c r="Z16" s="65">
        <f>1447/2</f>
        <v>723.5</v>
      </c>
      <c r="AA16" s="66">
        <v>1</v>
      </c>
      <c r="AB16" s="66">
        <v>1</v>
      </c>
      <c r="AC16" s="66">
        <v>2</v>
      </c>
      <c r="AD16" s="66">
        <v>0</v>
      </c>
      <c r="AE16" s="66">
        <v>0</v>
      </c>
      <c r="AF16" s="66">
        <v>2</v>
      </c>
      <c r="AG16" s="4">
        <v>2.8800000000000002E-3</v>
      </c>
      <c r="AH16" s="44">
        <v>-347.81556</v>
      </c>
      <c r="AI16">
        <f t="shared" si="0"/>
        <v>-5.8499649848342825</v>
      </c>
      <c r="AJ16">
        <f t="shared" si="1"/>
        <v>0.46997237875744413</v>
      </c>
      <c r="AK16">
        <f t="shared" si="2"/>
        <v>-2.540607512240769</v>
      </c>
      <c r="AL16">
        <f t="shared" si="3"/>
        <v>0.20410641074130303</v>
      </c>
    </row>
    <row r="17" spans="1:38" ht="40.799999999999997" thickBot="1" x14ac:dyDescent="0.35">
      <c r="A17" s="1" t="s">
        <v>15</v>
      </c>
      <c r="B17" s="1" t="s">
        <v>61</v>
      </c>
      <c r="C17" s="1">
        <v>25.53</v>
      </c>
      <c r="D17" s="1">
        <v>25.53</v>
      </c>
      <c r="E17" s="1">
        <v>4.4900000000000002E-2</v>
      </c>
      <c r="F17" s="1">
        <v>1.18533</v>
      </c>
      <c r="G17" s="1">
        <v>2.443E-2</v>
      </c>
      <c r="H17" s="1">
        <v>1.18533</v>
      </c>
      <c r="I17" s="64">
        <v>6</v>
      </c>
      <c r="J17" s="64">
        <v>1</v>
      </c>
      <c r="K17" s="64">
        <v>0</v>
      </c>
      <c r="L17" s="64">
        <v>1</v>
      </c>
      <c r="M17" s="64">
        <v>118</v>
      </c>
      <c r="N17" s="64">
        <v>38.700000000000003</v>
      </c>
      <c r="O17" s="64">
        <v>0</v>
      </c>
      <c r="P17" s="43">
        <v>10</v>
      </c>
      <c r="Q17" s="43">
        <v>4</v>
      </c>
      <c r="R17" s="43">
        <v>1.94</v>
      </c>
      <c r="S17" s="43">
        <v>0.78</v>
      </c>
      <c r="T17" s="43">
        <v>374</v>
      </c>
      <c r="U17" s="65">
        <f>1971/2</f>
        <v>985.5</v>
      </c>
      <c r="V17" s="65">
        <f>(407+467+736+622+551+408+162)/7</f>
        <v>479</v>
      </c>
      <c r="W17" s="65">
        <f>(899+113)/2</f>
        <v>506</v>
      </c>
      <c r="X17" s="65">
        <f>(686+538+704+340+661+720)/6</f>
        <v>608.16666666666663</v>
      </c>
      <c r="Y17" s="65">
        <v>0</v>
      </c>
      <c r="Z17" s="65">
        <f>1307/2</f>
        <v>653.5</v>
      </c>
      <c r="AA17" s="66">
        <v>1</v>
      </c>
      <c r="AB17" s="66">
        <v>1</v>
      </c>
      <c r="AC17" s="66">
        <v>2</v>
      </c>
      <c r="AD17" s="66">
        <v>1</v>
      </c>
      <c r="AE17" s="66">
        <v>0</v>
      </c>
      <c r="AF17" s="66">
        <v>2</v>
      </c>
      <c r="AG17" s="1">
        <v>0.30137999999999998</v>
      </c>
      <c r="AH17" s="41">
        <v>-3.31812</v>
      </c>
      <c r="AI17">
        <f t="shared" si="0"/>
        <v>-1.1993833519921289</v>
      </c>
      <c r="AJ17">
        <f t="shared" si="1"/>
        <v>0.1700212168311129</v>
      </c>
      <c r="AK17">
        <f t="shared" si="2"/>
        <v>-0.52088557145680714</v>
      </c>
      <c r="AL17">
        <f t="shared" si="3"/>
        <v>7.3839276276228619E-2</v>
      </c>
    </row>
    <row r="18" spans="1:38" ht="40.799999999999997" thickBot="1" x14ac:dyDescent="0.35">
      <c r="A18" s="2" t="s">
        <v>16</v>
      </c>
      <c r="B18" s="2" t="s">
        <v>61</v>
      </c>
      <c r="C18" s="6">
        <v>32.33</v>
      </c>
      <c r="D18" s="6">
        <v>32.33</v>
      </c>
      <c r="E18" s="6">
        <v>4.0000000000000002E-4</v>
      </c>
      <c r="F18" s="6">
        <v>8.3704900000000002</v>
      </c>
      <c r="G18" s="6">
        <v>0.64998999999999996</v>
      </c>
      <c r="H18" s="2">
        <v>8.3704900000000002</v>
      </c>
      <c r="I18" s="64">
        <v>16</v>
      </c>
      <c r="J18" s="64">
        <v>11</v>
      </c>
      <c r="K18" s="64">
        <v>3</v>
      </c>
      <c r="L18" s="64">
        <v>6</v>
      </c>
      <c r="M18" s="64">
        <v>157.19999999999999</v>
      </c>
      <c r="N18" s="64">
        <v>47.8</v>
      </c>
      <c r="O18" s="64">
        <v>47.8</v>
      </c>
      <c r="P18" s="43">
        <v>10</v>
      </c>
      <c r="Q18" s="43">
        <v>4</v>
      </c>
      <c r="R18" s="43">
        <v>1.94</v>
      </c>
      <c r="S18" s="43">
        <v>0.78</v>
      </c>
      <c r="T18" s="43">
        <v>374</v>
      </c>
      <c r="U18" s="65">
        <v>82</v>
      </c>
      <c r="V18" s="65">
        <f>(229+648+784)/7</f>
        <v>237.28571428571428</v>
      </c>
      <c r="W18" s="65">
        <v>52</v>
      </c>
      <c r="X18" s="65">
        <f>(608+739+807+889+1803)/6</f>
        <v>807.66666666666663</v>
      </c>
      <c r="Y18" s="65">
        <v>0</v>
      </c>
      <c r="Z18" s="65">
        <f>1476/2</f>
        <v>738</v>
      </c>
      <c r="AA18" s="66">
        <v>1</v>
      </c>
      <c r="AB18" s="66">
        <v>0</v>
      </c>
      <c r="AC18" s="66">
        <v>1</v>
      </c>
      <c r="AD18" s="66">
        <v>1</v>
      </c>
      <c r="AE18" s="66">
        <v>0</v>
      </c>
      <c r="AF18" s="66">
        <v>2</v>
      </c>
      <c r="AG18" s="1">
        <v>0.34037000000000001</v>
      </c>
      <c r="AH18" s="41">
        <v>-2.93798</v>
      </c>
      <c r="AI18">
        <f t="shared" si="0"/>
        <v>-1.0777220177766071</v>
      </c>
      <c r="AJ18">
        <f t="shared" si="1"/>
        <v>2.1247124252012251</v>
      </c>
      <c r="AK18">
        <f t="shared" si="2"/>
        <v>-0.46804872534601877</v>
      </c>
      <c r="AL18">
        <f t="shared" si="3"/>
        <v>0.92275088189616772</v>
      </c>
    </row>
    <row r="19" spans="1:38" ht="40.799999999999997" thickBot="1" x14ac:dyDescent="0.35">
      <c r="A19" s="3" t="s">
        <v>17</v>
      </c>
      <c r="B19" s="3" t="s">
        <v>61</v>
      </c>
      <c r="C19" s="3">
        <v>26.82</v>
      </c>
      <c r="D19" s="3">
        <v>26.82</v>
      </c>
      <c r="E19" s="3">
        <v>1.8259999999999998E-2</v>
      </c>
      <c r="F19" s="3">
        <v>0.97114999999999996</v>
      </c>
      <c r="G19" s="3">
        <v>2.0299999999999999E-2</v>
      </c>
      <c r="H19" s="3">
        <v>-1.0297099999999999</v>
      </c>
      <c r="I19" s="64">
        <v>1</v>
      </c>
      <c r="J19" s="64">
        <v>1</v>
      </c>
      <c r="K19" s="64">
        <v>1</v>
      </c>
      <c r="L19" s="64">
        <v>1</v>
      </c>
      <c r="M19" s="64">
        <v>150</v>
      </c>
      <c r="N19" s="64">
        <v>40.799999999999997</v>
      </c>
      <c r="O19" s="64">
        <v>40.799999999999997</v>
      </c>
      <c r="P19" s="43">
        <v>2</v>
      </c>
      <c r="Q19" s="43">
        <v>3</v>
      </c>
      <c r="R19" s="43">
        <v>0.41</v>
      </c>
      <c r="S19" s="43">
        <v>0.62</v>
      </c>
      <c r="T19" s="43">
        <v>348</v>
      </c>
      <c r="U19" s="65">
        <v>1000</v>
      </c>
      <c r="V19" s="65">
        <f>(1000+923+1748+736+689+736)/7</f>
        <v>833.14285714285711</v>
      </c>
      <c r="W19" s="65">
        <f>(383+128)/2</f>
        <v>255.5</v>
      </c>
      <c r="X19" s="65">
        <f>(118+131)/6</f>
        <v>41.5</v>
      </c>
      <c r="Y19" s="65">
        <f>172/3</f>
        <v>57.333333333333336</v>
      </c>
      <c r="Z19" s="65">
        <f>1348/2</f>
        <v>674</v>
      </c>
      <c r="AA19" s="66">
        <v>2</v>
      </c>
      <c r="AB19" s="66">
        <v>2</v>
      </c>
      <c r="AC19" s="66">
        <v>2</v>
      </c>
      <c r="AD19" s="66">
        <v>0</v>
      </c>
      <c r="AE19" s="66">
        <v>0</v>
      </c>
      <c r="AF19" s="66">
        <v>1</v>
      </c>
      <c r="AG19" s="5">
        <v>0.23444999999999999</v>
      </c>
      <c r="AH19" s="48">
        <v>-4.2653699999999999</v>
      </c>
      <c r="AI19">
        <f t="shared" si="0"/>
        <v>-1.4505129334465419</v>
      </c>
      <c r="AJ19">
        <f t="shared" si="1"/>
        <v>-2.9274342703995249E-2</v>
      </c>
      <c r="AK19">
        <f t="shared" si="2"/>
        <v>-0.62994976292513183</v>
      </c>
      <c r="AL19">
        <f t="shared" si="3"/>
        <v>-1.2713685497689857E-2</v>
      </c>
    </row>
    <row r="20" spans="1:38" ht="40.799999999999997" thickBot="1" x14ac:dyDescent="0.35">
      <c r="A20" s="3" t="s">
        <v>18</v>
      </c>
      <c r="B20" s="3" t="s">
        <v>61</v>
      </c>
      <c r="C20" s="3">
        <v>23.29</v>
      </c>
      <c r="D20" s="3">
        <v>23.29</v>
      </c>
      <c r="E20" s="3">
        <v>0.3044</v>
      </c>
      <c r="F20" s="3">
        <v>1.7792600000000001</v>
      </c>
      <c r="G20" s="3">
        <v>6.3469999999999999E-2</v>
      </c>
      <c r="H20" s="3">
        <v>1.7792600000000001</v>
      </c>
      <c r="I20" s="64">
        <v>3</v>
      </c>
      <c r="J20" s="64">
        <v>1</v>
      </c>
      <c r="K20" s="64">
        <v>0</v>
      </c>
      <c r="L20" s="64">
        <v>2</v>
      </c>
      <c r="M20" s="64">
        <v>154</v>
      </c>
      <c r="N20" s="64">
        <v>36.6</v>
      </c>
      <c r="O20" s="64">
        <v>0</v>
      </c>
      <c r="P20" s="43">
        <v>2</v>
      </c>
      <c r="Q20" s="43">
        <v>3</v>
      </c>
      <c r="R20" s="43">
        <v>0.41</v>
      </c>
      <c r="S20" s="43">
        <v>0.62</v>
      </c>
      <c r="T20" s="43">
        <v>348</v>
      </c>
      <c r="U20" s="65">
        <v>1000</v>
      </c>
      <c r="V20" s="65">
        <f>6679/7</f>
        <v>954.14285714285711</v>
      </c>
      <c r="W20" s="65">
        <f>(887+122)/2</f>
        <v>504.5</v>
      </c>
      <c r="X20" s="65">
        <v>0</v>
      </c>
      <c r="Y20" s="65">
        <f>2455/3</f>
        <v>818.33333333333337</v>
      </c>
      <c r="Z20" s="65">
        <f>1729/2</f>
        <v>864.5</v>
      </c>
      <c r="AA20" s="66">
        <v>3</v>
      </c>
      <c r="AB20" s="66">
        <v>3</v>
      </c>
      <c r="AC20" s="66">
        <v>2</v>
      </c>
      <c r="AD20" s="66">
        <v>0</v>
      </c>
      <c r="AE20" s="66">
        <v>2</v>
      </c>
      <c r="AF20" s="66">
        <v>2</v>
      </c>
      <c r="AG20" s="5">
        <v>0.20871999999999999</v>
      </c>
      <c r="AH20" s="48">
        <v>-4.7912100000000004</v>
      </c>
      <c r="AI20">
        <f t="shared" si="0"/>
        <v>-1.5667616381536642</v>
      </c>
      <c r="AJ20">
        <f t="shared" si="1"/>
        <v>0.57619754752710062</v>
      </c>
      <c r="AK20">
        <f t="shared" si="2"/>
        <v>-0.68043593390783563</v>
      </c>
      <c r="AL20">
        <f t="shared" si="3"/>
        <v>0.25023941537720651</v>
      </c>
    </row>
    <row r="21" spans="1:38" x14ac:dyDescent="0.3">
      <c r="I21" s="68"/>
      <c r="P21" s="10"/>
      <c r="T21" s="68"/>
      <c r="V21" s="52"/>
      <c r="W21" s="52"/>
      <c r="X21" s="52"/>
      <c r="Y21" s="52"/>
      <c r="Z21" s="52"/>
      <c r="AA21" s="52"/>
      <c r="AB21" s="55"/>
      <c r="AC21" s="55"/>
      <c r="AD21" s="55"/>
      <c r="AE21" s="55"/>
      <c r="AF21" s="55"/>
    </row>
    <row r="22" spans="1:38" x14ac:dyDescent="0.3">
      <c r="I22" s="68"/>
      <c r="P22" s="10"/>
      <c r="T22" s="68"/>
      <c r="U22" s="67"/>
    </row>
    <row r="25" spans="1:38" ht="15" thickBot="1" x14ac:dyDescent="0.35"/>
    <row r="26" spans="1:38" ht="15" thickBot="1" x14ac:dyDescent="0.35">
      <c r="A26" s="57"/>
      <c r="B26" s="1"/>
      <c r="C26" s="1"/>
      <c r="D26" s="1"/>
      <c r="E26" s="1"/>
      <c r="F26" s="1"/>
      <c r="G26" s="1"/>
      <c r="H26" s="1"/>
      <c r="I26" s="1"/>
    </row>
    <row r="27" spans="1:38" ht="15" thickBot="1" x14ac:dyDescent="0.35">
      <c r="A27" s="57"/>
      <c r="B27" s="60"/>
      <c r="C27" s="1"/>
      <c r="D27" s="1"/>
      <c r="E27" s="1"/>
      <c r="F27" s="1"/>
      <c r="G27" s="1"/>
      <c r="H27" s="1"/>
      <c r="I27" s="1"/>
      <c r="AG27" s="1"/>
      <c r="AH27" s="1"/>
    </row>
    <row r="28" spans="1:38" ht="15" thickBot="1" x14ac:dyDescent="0.35">
      <c r="A28" s="62"/>
      <c r="B28" s="63"/>
      <c r="C28" s="5"/>
      <c r="D28" s="5"/>
      <c r="E28" s="5"/>
      <c r="F28" s="5"/>
      <c r="G28" s="5"/>
      <c r="H28" s="63"/>
      <c r="I28" s="63"/>
      <c r="AG28" s="1"/>
      <c r="AH28" s="1"/>
    </row>
    <row r="29" spans="1:38" ht="15" thickBot="1" x14ac:dyDescent="0.35">
      <c r="A29" s="57"/>
      <c r="B29" s="1"/>
      <c r="C29" s="1"/>
      <c r="D29" s="1"/>
      <c r="E29" s="1"/>
      <c r="F29" s="1"/>
      <c r="G29" s="1"/>
      <c r="H29" s="1"/>
      <c r="I29" s="1"/>
      <c r="AG29" s="3"/>
      <c r="AH29" s="3"/>
    </row>
    <row r="30" spans="1:38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AG30" s="1"/>
      <c r="AH30" s="1"/>
    </row>
    <row r="31" spans="1:38" ht="15" thickBot="1" x14ac:dyDescent="0.35">
      <c r="A31" s="57"/>
      <c r="B31" s="1"/>
      <c r="C31" s="1"/>
      <c r="D31" s="1"/>
      <c r="E31" s="1"/>
      <c r="F31" s="1"/>
      <c r="G31" s="1"/>
      <c r="H31" s="1"/>
      <c r="I31" s="1"/>
      <c r="AG31" s="1"/>
      <c r="AH31" s="1"/>
    </row>
    <row r="32" spans="1:38" ht="15" thickBot="1" x14ac:dyDescent="0.35">
      <c r="A32" s="57"/>
      <c r="B32" s="1"/>
      <c r="C32" s="1"/>
      <c r="D32" s="1"/>
      <c r="E32" s="1"/>
      <c r="F32" s="1"/>
      <c r="G32" s="1"/>
      <c r="H32" s="1"/>
      <c r="I32" s="1"/>
      <c r="AG32" s="1"/>
      <c r="AH32" s="1"/>
    </row>
    <row r="33" spans="1:34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AG33" s="1"/>
      <c r="AH33" s="1"/>
    </row>
    <row r="34" spans="1:34" ht="15" thickBot="1" x14ac:dyDescent="0.35">
      <c r="AG34" s="1"/>
      <c r="AH34" s="1"/>
    </row>
    <row r="35" spans="1:34" ht="15" thickBot="1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34" ht="15" thickBot="1" x14ac:dyDescent="0.35">
      <c r="AG36" s="1"/>
      <c r="AH36" s="1"/>
    </row>
    <row r="37" spans="1:34" ht="15" thickBot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34" ht="15" thickBot="1" x14ac:dyDescent="0.35">
      <c r="AG38" s="1"/>
      <c r="AH38" s="1"/>
    </row>
    <row r="51" spans="1:34" ht="15" thickBot="1" x14ac:dyDescent="0.35"/>
    <row r="52" spans="1:34" ht="15" thickBot="1" x14ac:dyDescent="0.35">
      <c r="A52" s="61"/>
      <c r="B52" s="61"/>
      <c r="C52" s="4"/>
      <c r="D52" s="4"/>
      <c r="E52" s="4"/>
      <c r="F52" s="4"/>
      <c r="G52" s="4"/>
      <c r="H52" s="61"/>
      <c r="I52" s="61"/>
    </row>
    <row r="53" spans="1:34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AG53" s="1"/>
      <c r="AH53" s="1"/>
    </row>
    <row r="54" spans="1:34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AG54" s="1"/>
      <c r="AH54" s="1"/>
    </row>
    <row r="55" spans="1:34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AG55" s="1"/>
      <c r="AH55" s="1"/>
    </row>
    <row r="56" spans="1:34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AG56" s="1"/>
      <c r="AH56" s="1"/>
    </row>
    <row r="57" spans="1:34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AG57" s="1"/>
      <c r="AH57" s="1"/>
    </row>
    <row r="58" spans="1:34" ht="15" thickBot="1" x14ac:dyDescent="0.35">
      <c r="A58" s="61"/>
      <c r="B58" s="61"/>
      <c r="C58" s="4"/>
      <c r="D58" s="4"/>
      <c r="E58" s="4"/>
      <c r="F58" s="4"/>
      <c r="G58" s="4"/>
      <c r="H58" s="61"/>
      <c r="I58" s="61"/>
      <c r="AG58" s="1"/>
      <c r="AH58" s="1"/>
    </row>
    <row r="59" spans="1:34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AG59" s="6"/>
      <c r="AH59" s="2"/>
    </row>
    <row r="60" spans="1:34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AG60" s="1"/>
      <c r="AH60" s="1"/>
    </row>
    <row r="61" spans="1:34" ht="15" thickBot="1" x14ac:dyDescent="0.35">
      <c r="A61" s="57"/>
      <c r="B61" s="1"/>
      <c r="C61" s="1"/>
      <c r="D61" s="1"/>
      <c r="E61" s="1"/>
      <c r="F61" s="1"/>
      <c r="G61" s="1"/>
      <c r="H61" s="1"/>
      <c r="I61" s="1"/>
      <c r="AG61" s="3"/>
      <c r="AH61" s="3"/>
    </row>
    <row r="62" spans="1:34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AG62" s="1"/>
      <c r="AH62" s="1"/>
    </row>
    <row r="63" spans="1:34" ht="15" thickBot="1" x14ac:dyDescent="0.35">
      <c r="A63" s="57"/>
      <c r="B63" s="1"/>
      <c r="C63" s="1"/>
      <c r="D63" s="1"/>
      <c r="E63" s="1"/>
      <c r="F63" s="1"/>
      <c r="G63" s="1"/>
      <c r="H63" s="1"/>
      <c r="I63" s="1"/>
      <c r="AG63" s="1"/>
      <c r="AH63" s="1"/>
    </row>
    <row r="64" spans="1:34" ht="15" thickBot="1" x14ac:dyDescent="0.35">
      <c r="A64" s="57"/>
      <c r="B64" s="1"/>
      <c r="C64" s="1"/>
      <c r="D64" s="1"/>
      <c r="E64" s="1"/>
      <c r="F64" s="1"/>
      <c r="G64" s="1"/>
      <c r="H64" s="1"/>
      <c r="I64" s="1"/>
      <c r="AG64" s="1"/>
      <c r="AH64" s="1"/>
    </row>
    <row r="65" spans="1:34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AG65" s="1"/>
      <c r="AH65" s="1"/>
    </row>
    <row r="66" spans="1:34" ht="15" thickBot="1" x14ac:dyDescent="0.35">
      <c r="AG66" s="1"/>
      <c r="AH66" s="1"/>
    </row>
    <row r="67" spans="1:34" ht="15" thickBo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34" ht="15" thickBot="1" x14ac:dyDescent="0.35">
      <c r="AG68" s="1"/>
      <c r="AH68" s="1"/>
    </row>
    <row r="69" spans="1:34" ht="15" thickBot="1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34" ht="15" thickBot="1" x14ac:dyDescent="0.35">
      <c r="AG70" s="1"/>
      <c r="AH70" s="1"/>
    </row>
    <row r="77" spans="1:34" ht="15" thickBot="1" x14ac:dyDescent="0.35"/>
    <row r="78" spans="1:34" ht="15" thickBot="1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34" ht="15" thickBot="1" x14ac:dyDescent="0.35">
      <c r="A79" s="57"/>
      <c r="B79" s="1"/>
      <c r="C79" s="1"/>
      <c r="D79" s="1"/>
      <c r="E79" s="1"/>
      <c r="F79" s="1"/>
      <c r="G79" s="1"/>
      <c r="H79" s="1"/>
      <c r="I79" s="1"/>
      <c r="AG79" s="1"/>
      <c r="AH79" s="1"/>
    </row>
    <row r="80" spans="1:34" ht="15" thickBot="1" x14ac:dyDescent="0.35">
      <c r="A80" s="57"/>
      <c r="B80" s="1"/>
      <c r="C80" s="1"/>
      <c r="D80" s="1"/>
      <c r="E80" s="1"/>
      <c r="F80" s="1"/>
      <c r="G80" s="1"/>
      <c r="H80" s="1"/>
      <c r="I80" s="1"/>
      <c r="AG80" s="1"/>
      <c r="AH80" s="1"/>
    </row>
    <row r="81" spans="1:34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AG81" s="1"/>
      <c r="AH81" s="1"/>
    </row>
    <row r="82" spans="1:34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AG82" s="1"/>
      <c r="AH82" s="1"/>
    </row>
    <row r="83" spans="1:34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AG83" s="1"/>
      <c r="AH83" s="1"/>
    </row>
    <row r="84" spans="1:34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AG84" s="1"/>
      <c r="AH84" s="1"/>
    </row>
    <row r="85" spans="1:34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AG85" s="3"/>
      <c r="AH85" s="3"/>
    </row>
    <row r="86" spans="1:34" ht="15" thickBot="1" x14ac:dyDescent="0.35">
      <c r="A86" s="61"/>
      <c r="B86" s="61"/>
      <c r="C86" s="4"/>
      <c r="D86" s="4"/>
      <c r="E86" s="4"/>
      <c r="F86" s="4"/>
      <c r="G86" s="4"/>
      <c r="H86" s="61"/>
      <c r="I86" s="61"/>
      <c r="AG86" s="1"/>
      <c r="AH86" s="1"/>
    </row>
    <row r="87" spans="1:34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AG87" s="1"/>
      <c r="AH87" s="1"/>
    </row>
    <row r="88" spans="1:34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AG88" s="1"/>
      <c r="AH88" s="1"/>
    </row>
    <row r="89" spans="1:34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AG89" s="1"/>
      <c r="AH89" s="1"/>
    </row>
    <row r="90" spans="1:34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AG90" s="1"/>
      <c r="AH90" s="1"/>
    </row>
    <row r="91" spans="1:34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AG91" s="1"/>
      <c r="AH91" s="1"/>
    </row>
    <row r="92" spans="1:34" ht="15" thickBot="1" x14ac:dyDescent="0.35">
      <c r="A92" s="63"/>
      <c r="B92" s="63"/>
      <c r="C92" s="5"/>
      <c r="D92" s="5"/>
      <c r="E92" s="5"/>
      <c r="F92" s="5"/>
      <c r="G92" s="5"/>
      <c r="H92" s="63"/>
      <c r="I92" s="63"/>
      <c r="AG92" s="1"/>
      <c r="AH92" s="1"/>
    </row>
    <row r="93" spans="1:34" ht="15" thickBot="1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34" ht="15" thickBot="1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34" ht="15" thickBot="1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34" ht="15" thickBot="1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ht="15" thickBot="1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ht="15" thickBot="1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ht="15" thickBot="1" x14ac:dyDescent="0.35">
      <c r="A99" s="1"/>
      <c r="B99" s="1"/>
      <c r="C99" s="1"/>
      <c r="D99" s="1"/>
      <c r="E99" s="1"/>
      <c r="F99" s="1"/>
      <c r="G99" s="1"/>
      <c r="H99" s="1"/>
      <c r="I9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4" sqref="M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Критерии + рез по группам</vt:lpstr>
      <vt:lpstr>regulation матр корр + белки</vt:lpstr>
      <vt:lpstr>RNE матр корр + белки</vt:lpstr>
      <vt:lpstr>RNE матрица корреляций</vt:lpstr>
      <vt:lpstr>Regulation матрица корреляций</vt:lpstr>
      <vt:lpstr>Кураксин</vt:lpstr>
      <vt:lpstr>Матрица regulation кураксин</vt:lpstr>
      <vt:lpstr>Матрица RNE кураксин</vt:lpstr>
      <vt:lpstr>общий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</dc:creator>
  <cp:lastModifiedBy>User</cp:lastModifiedBy>
  <dcterms:created xsi:type="dcterms:W3CDTF">2015-06-05T18:19:34Z</dcterms:created>
  <dcterms:modified xsi:type="dcterms:W3CDTF">2022-12-02T22:28:25Z</dcterms:modified>
</cp:coreProperties>
</file>