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EK"/>
    <sheet r:id="rId2" sheetId="2" name="K562"/>
    <sheet r:id="rId3" sheetId="3" name="A549"/>
    <sheet r:id="rId4" sheetId="4" name="HEK старый"/>
  </sheets>
  <definedNames>
    <definedName name="_xlchart.v1.0">HEK!$I$32</definedName>
    <definedName name="_xlchart.v1.1">HEK!$I$33:$I$51</definedName>
    <definedName name="_xlchart.v1.10">HEK!$L$32</definedName>
    <definedName name="_xlchart.v1.11">HEK!$L$33:$L$51</definedName>
    <definedName name="_xlchart.v1.12">HEK!$O$32</definedName>
    <definedName name="_xlchart.v1.13">HEK!$O$33:$O$51</definedName>
    <definedName name="_xlchart.v1.14">HEK!$P$32</definedName>
    <definedName name="_xlchart.v1.15">HEK!$P$33:$P$51</definedName>
    <definedName name="_xlchart.v1.16">'K562'!$N$31</definedName>
    <definedName name="_xlchart.v1.17">'K562'!$N$32:$N$50</definedName>
    <definedName name="_xlchart.v1.18">'K562'!$O$31</definedName>
    <definedName name="_xlchart.v1.19">'K562'!$O$32:$O$50</definedName>
    <definedName name="_xlchart.v1.2">HEK!$J$32</definedName>
    <definedName name="_xlchart.v1.20">'K562'!$L$31</definedName>
    <definedName name="_xlchart.v1.21">'K562'!$L$32:$L$50</definedName>
    <definedName name="_xlchart.v1.22">'K562'!$M$31</definedName>
    <definedName name="_xlchart.v1.23">'K562'!$M$32:$M$50</definedName>
    <definedName name="_xlchart.v1.24">'K562'!$J$31</definedName>
    <definedName name="_xlchart.v1.25">'K562'!$J$32:$J$50</definedName>
    <definedName name="_xlchart.v1.26">'K562'!$K$31</definedName>
    <definedName name="_xlchart.v1.27">'K562'!$K$32:$K$50</definedName>
    <definedName name="_xlchart.v1.28">'K562'!$H$31</definedName>
    <definedName name="_xlchart.v1.29">'K562'!$H$32:$H$50</definedName>
    <definedName name="_xlchart.v1.3">HEK!$J$33:$J$51</definedName>
    <definedName name="_xlchart.v1.30">'K562'!$I$31</definedName>
    <definedName name="_xlchart.v1.31">'K562'!$I$32:$I$50</definedName>
    <definedName name="_xlchart.v1.32">'A549'!$U$1</definedName>
    <definedName name="_xlchart.v1.33">'A549'!$U$2:$U$18</definedName>
    <definedName name="_xlchart.v1.34">'A549'!$V$1</definedName>
    <definedName name="_xlchart.v1.35">'A549'!$V$2:$V$18</definedName>
    <definedName name="_xlchart.v1.36">'A549'!$G$34</definedName>
    <definedName name="_xlchart.v1.37">'A549'!$G$35:$G$53</definedName>
    <definedName name="_xlchart.v1.38">'A549'!$H$34</definedName>
    <definedName name="_xlchart.v1.39">'A549'!$H$35:$H$53</definedName>
    <definedName name="_xlchart.v1.4">HEK!$M$32</definedName>
    <definedName name="_xlchart.v1.40">'A549'!$K$34</definedName>
    <definedName name="_xlchart.v1.41">'A549'!$K$35:$K$53</definedName>
    <definedName name="_xlchart.v1.42">'A549'!$L$34</definedName>
    <definedName name="_xlchart.v1.43">'A549'!$L$35:$L$53</definedName>
    <definedName name="_xlchart.v1.44">'A549'!$I$34</definedName>
    <definedName name="_xlchart.v1.45">'A549'!$I$35:$I$53</definedName>
    <definedName name="_xlchart.v1.46">'A549'!$J$34</definedName>
    <definedName name="_xlchart.v1.47">'A549'!$J$35:$J$53</definedName>
    <definedName name="_xlchart.v1.48">'A549'!$M$34</definedName>
    <definedName name="_xlchart.v1.49">'A549'!$M$35:$M$53</definedName>
    <definedName name="_xlchart.v1.5">HEK!$M$33:$M$51</definedName>
    <definedName name="_xlchart.v1.50">'A549'!$N$34</definedName>
    <definedName name="_xlchart.v1.51">'A549'!$N$35:$N$53</definedName>
    <definedName name="_xlchart.v1.52">'A549'!$AA$1</definedName>
    <definedName name="_xlchart.v1.53">'A549'!$AA$2:$AA$18</definedName>
    <definedName name="_xlchart.v1.54">'A549'!$AB$1</definedName>
    <definedName name="_xlchart.v1.55">'A549'!$AB$2:$AB$18</definedName>
    <definedName name="_xlchart.v1.56">'A549'!$W$1</definedName>
    <definedName name="_xlchart.v1.57">'A549'!$W$2:$W$18</definedName>
    <definedName name="_xlchart.v1.58">'A549'!$X$1</definedName>
    <definedName name="_xlchart.v1.59">'A549'!$X$2:$X$18</definedName>
    <definedName name="_xlchart.v1.6">HEK!$N$32</definedName>
    <definedName name="_xlchart.v1.60">'A549'!$Y$1</definedName>
    <definedName name="_xlchart.v1.61">'A549'!$Y$2:$Y$18</definedName>
    <definedName name="_xlchart.v1.62">'A549'!$Z$1</definedName>
    <definedName name="_xlchart.v1.63">'A549'!$Z$2:$Z$18</definedName>
    <definedName name="_xlchart.v1.64">'HEK старый'!$K$39</definedName>
    <definedName name="_xlchart.v1.65">'HEK старый'!$K$40:$K$58</definedName>
    <definedName name="_xlchart.v1.66">'HEK старый'!$L$39</definedName>
    <definedName name="_xlchart.v1.67">'HEK старый'!$L$40:$L$58</definedName>
    <definedName name="_xlchart.v1.68">'HEK старый'!$O$39</definedName>
    <definedName name="_xlchart.v1.69">'HEK старый'!$O$40:$O$58</definedName>
    <definedName name="_xlchart.v1.7">HEK!$N$33:$N$51</definedName>
    <definedName name="_xlchart.v1.70">'HEK старый'!$P$39</definedName>
    <definedName name="_xlchart.v1.71">'HEK старый'!$P$40:$P$58</definedName>
    <definedName name="_xlchart.v1.72">'HEK старый'!$Q$39</definedName>
    <definedName name="_xlchart.v1.73">'HEK старый'!$Q$40:$Q$58</definedName>
    <definedName name="_xlchart.v1.74">'HEK старый'!$R$39</definedName>
    <definedName name="_xlchart.v1.75">'HEK старый'!$R$40:$R$58</definedName>
    <definedName name="_xlchart.v1.76">'HEK старый'!$M$39</definedName>
    <definedName name="_xlchart.v1.77">'HEK старый'!$M$40:$M$58</definedName>
    <definedName name="_xlchart.v1.78">'HEK старый'!$N$39</definedName>
    <definedName name="_xlchart.v1.79">'HEK старый'!$N$40:$N$58</definedName>
    <definedName name="_xlchart.v1.8">HEK!$K$32</definedName>
    <definedName name="_xlchart.v1.9">HEK!$K$33:$K$51</definedName>
  </definedNames>
  <calcPr fullCalcOnLoad="1"/>
</workbook>
</file>

<file path=xl/sharedStrings.xml><?xml version="1.0" encoding="utf-8"?>
<sst xmlns="http://schemas.openxmlformats.org/spreadsheetml/2006/main" count="457" uniqueCount="99">
  <si>
    <t>NE PBS</t>
  </si>
  <si>
    <t>NE DMSO</t>
  </si>
  <si>
    <t>NE DCCP</t>
  </si>
  <si>
    <t>NE PDS</t>
  </si>
  <si>
    <t>NE curax</t>
  </si>
  <si>
    <t>NE FU</t>
  </si>
  <si>
    <t>RNE FU</t>
  </si>
  <si>
    <t>RNE PDS</t>
  </si>
  <si>
    <t>RNE curax</t>
  </si>
  <si>
    <t>RNE DCCP</t>
  </si>
  <si>
    <t>fold change FU</t>
  </si>
  <si>
    <t>fold change PDS</t>
  </si>
  <si>
    <t>fold change curax</t>
  </si>
  <si>
    <t>fold change DCCP</t>
  </si>
  <si>
    <t>N of motifs</t>
  </si>
  <si>
    <t>N of all G4-seqs</t>
  </si>
  <si>
    <t>N of rel G4-seqs</t>
  </si>
  <si>
    <t>N of G4-p</t>
  </si>
  <si>
    <t>Max score of G4-p</t>
  </si>
  <si>
    <t>Max score of G4-seqs</t>
  </si>
  <si>
    <t>Max score of rel G4 seqs</t>
  </si>
  <si>
    <t>score YY1</t>
  </si>
  <si>
    <t>score pol2</t>
  </si>
  <si>
    <t>score CTCF</t>
  </si>
  <si>
    <t>score MAZ</t>
  </si>
  <si>
    <t>N of YY1</t>
  </si>
  <si>
    <t>N of  pol2</t>
  </si>
  <si>
    <t>N of  CTCF</t>
  </si>
  <si>
    <t>N of MAZ</t>
  </si>
  <si>
    <t>BRD4 number</t>
  </si>
  <si>
    <t>BRD4 score</t>
  </si>
  <si>
    <t>h3k27ac number</t>
  </si>
  <si>
    <t>h3k27ac score</t>
  </si>
  <si>
    <t>IFI6</t>
  </si>
  <si>
    <t>WASF2</t>
  </si>
  <si>
    <t>RTN2</t>
  </si>
  <si>
    <t>POLR1G</t>
  </si>
  <si>
    <t>ERCC1</t>
  </si>
  <si>
    <t>ERCC2</t>
  </si>
  <si>
    <t>Dot1L</t>
  </si>
  <si>
    <t>CSNK1G2</t>
  </si>
  <si>
    <t>NR1D1</t>
  </si>
  <si>
    <t>RAPGEFL1</t>
  </si>
  <si>
    <t>МАSТ3</t>
  </si>
  <si>
    <t>Crtc1</t>
  </si>
  <si>
    <t>ELL</t>
  </si>
  <si>
    <t>SAE1</t>
  </si>
  <si>
    <t>BBC3</t>
  </si>
  <si>
    <t>MKNK2</t>
  </si>
  <si>
    <t>PLK3</t>
  </si>
  <si>
    <t>UROD</t>
  </si>
  <si>
    <t>TOE1</t>
  </si>
  <si>
    <t>PVR</t>
  </si>
  <si>
    <t>AP3D1</t>
  </si>
  <si>
    <t>STX12</t>
  </si>
  <si>
    <t>Psmd3</t>
  </si>
  <si>
    <t>CCDC124</t>
  </si>
  <si>
    <t>PIK3R2</t>
  </si>
  <si>
    <t>IPP</t>
  </si>
  <si>
    <t>SLC6A9</t>
  </si>
  <si>
    <t>Meis3</t>
  </si>
  <si>
    <t>считаю всё на пиках H3K4me3</t>
  </si>
  <si>
    <t xml:space="preserve"> 5-FU enh</t>
  </si>
  <si>
    <t xml:space="preserve"> 5-FU</t>
  </si>
  <si>
    <t>curax enh</t>
  </si>
  <si>
    <t>curax</t>
  </si>
  <si>
    <t>DCCP enh</t>
  </si>
  <si>
    <t>DCCP</t>
  </si>
  <si>
    <t xml:space="preserve"> PDS enh</t>
  </si>
  <si>
    <t xml:space="preserve"> PDS</t>
  </si>
  <si>
    <t>alt fold change FU</t>
  </si>
  <si>
    <t>alt fold change PDS</t>
  </si>
  <si>
    <t>alt fold change curax</t>
  </si>
  <si>
    <t>alt fold change DCCP</t>
  </si>
  <si>
    <t>SE 5-FU</t>
  </si>
  <si>
    <t>no SE 5-FU</t>
  </si>
  <si>
    <t>SE PDS</t>
  </si>
  <si>
    <t>no SE PDS</t>
  </si>
  <si>
    <t xml:space="preserve"> SE curax</t>
  </si>
  <si>
    <t>no SE curax</t>
  </si>
  <si>
    <t xml:space="preserve"> SE DCCP</t>
  </si>
  <si>
    <t>no SE DCCP</t>
  </si>
  <si>
    <t>statistic=-1.3898326112828963, pvalue=0.17636624432502804</t>
  </si>
  <si>
    <t>N of BG4</t>
  </si>
  <si>
    <t>Max score of BG4</t>
  </si>
  <si>
    <t>ENH: N of all G4-seqs</t>
  </si>
  <si>
    <t>ENH: N of BG4</t>
  </si>
  <si>
    <t>ENH: freq of all G4-seqs</t>
  </si>
  <si>
    <t>ENH:freq of BG4</t>
  </si>
  <si>
    <t>ENH: rank</t>
  </si>
  <si>
    <t>score c-myc</t>
  </si>
  <si>
    <t>score SP1</t>
  </si>
  <si>
    <t>N of c-myc</t>
  </si>
  <si>
    <t>N of SP1</t>
  </si>
  <si>
    <t>SE curax</t>
  </si>
  <si>
    <t>SE DCCP</t>
  </si>
  <si>
    <t/>
  </si>
  <si>
    <t>SE FU</t>
  </si>
  <si>
    <t>no SE FU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</si>
</sst>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4472c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4472c4"/>
      <name val="Calibr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b/>
      <sz val="10"/>
      <color rgb="FFed7d31"/>
      <name val="Arial"/>
      <family val="2"/>
    </font>
    <font>
      <sz val="11"/>
      <color rgb="FF000000"/>
      <name val="Consolas"/>
      <family val="2"/>
    </font>
    <font>
      <b/>
      <sz val="11"/>
      <color rgb="FFed7d31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ce5cd"/>
      </patternFill>
    </fill>
    <fill>
      <patternFill patternType="solid">
        <fgColor rgb="FFcfe2f3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6">
    <xf xfId="0" numFmtId="0" borderId="0" fontId="0" fillId="0"/>
    <xf xfId="0" numFmtId="0" borderId="0" fontId="0" fillId="0" applyAlignment="1">
      <alignment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4" applyNumberFormat="1" borderId="0" fontId="0" fillId="0" applyAlignment="1">
      <alignment horizontal="right" wrapText="1"/>
    </xf>
    <xf xfId="0" numFmtId="4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3" applyNumberFormat="1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0" borderId="2" applyBorder="1" fontId="4" applyFont="1" fillId="0" applyAlignment="1">
      <alignment horizontal="center" wrapText="1"/>
    </xf>
    <xf xfId="0" numFmtId="0" borderId="3" applyBorder="1" fontId="5" applyFont="1" fillId="0" applyAlignment="1">
      <alignment horizontal="left" wrapText="1"/>
    </xf>
    <xf xfId="0" numFmtId="0" borderId="3" applyBorder="1" fontId="3" applyFont="1" fillId="0" applyAlignment="1">
      <alignment horizontal="center" wrapText="1"/>
    </xf>
    <xf xfId="0" numFmtId="3" applyNumberFormat="1" borderId="4" applyBorder="1" fontId="1" applyFont="1" fillId="0" applyAlignment="1">
      <alignment horizontal="right" wrapText="1"/>
    </xf>
    <xf xfId="0" numFmtId="0" borderId="4" applyBorder="1" fontId="1" applyFont="1" fillId="0" applyAlignment="1">
      <alignment horizontal="left" wrapText="1"/>
    </xf>
    <xf xfId="0" numFmtId="4" applyNumberFormat="1" borderId="5" applyBorder="1" fontId="1" applyFont="1" fillId="0" applyAlignment="1">
      <alignment horizontal="right" wrapText="1"/>
    </xf>
    <xf xfId="0" numFmtId="4" applyNumberFormat="1" borderId="3" applyBorder="1" fontId="5" applyFont="1" fillId="0" applyAlignment="1">
      <alignment horizontal="right"/>
    </xf>
    <xf xfId="0" numFmtId="1" applyNumberFormat="1" borderId="3" applyBorder="1" fontId="6" applyFont="1" fillId="0" applyAlignment="1">
      <alignment horizontal="right"/>
    </xf>
    <xf xfId="0" numFmtId="3" applyNumberFormat="1" borderId="3" applyBorder="1" fontId="7" applyFont="1" fillId="0" applyAlignment="1">
      <alignment horizontal="right"/>
    </xf>
    <xf xfId="0" numFmtId="0" borderId="3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6" applyBorder="1" fontId="1" applyFont="1" fillId="0" applyAlignment="1">
      <alignment horizontal="right" wrapText="1"/>
    </xf>
    <xf xfId="0" numFmtId="3" applyNumberFormat="1" borderId="4" applyBorder="1" fontId="8" applyFont="1" fillId="0" applyAlignment="1">
      <alignment horizontal="right" wrapText="1"/>
    </xf>
    <xf xfId="0" numFmtId="0" borderId="4" applyBorder="1" fontId="8" applyFont="1" fillId="0" applyAlignment="1">
      <alignment horizontal="left" wrapText="1"/>
    </xf>
    <xf xfId="0" numFmtId="4" applyNumberFormat="1" borderId="6" applyBorder="1" fontId="8" applyFont="1" fillId="0" applyAlignment="1">
      <alignment horizontal="right" wrapText="1"/>
    </xf>
    <xf xfId="0" numFmtId="4" applyNumberFormat="1" borderId="3" applyBorder="1" fontId="9" applyFont="1" fillId="0" applyAlignment="1">
      <alignment horizontal="right"/>
    </xf>
    <xf xfId="0" numFmtId="4" applyNumberFormat="1" borderId="3" applyBorder="1" fontId="7" applyFont="1" fillId="0" applyAlignment="1">
      <alignment horizontal="right"/>
    </xf>
    <xf xfId="0" numFmtId="3" applyNumberFormat="1" borderId="3" applyBorder="1" fontId="5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6" applyBorder="1" fontId="1" applyFont="1" fillId="0" applyAlignment="1">
      <alignment horizontal="left" wrapText="1"/>
    </xf>
    <xf xfId="0" numFmtId="0" borderId="4" applyBorder="1" fontId="1" applyFont="1" fillId="2" applyFill="1" applyAlignment="1">
      <alignment horizontal="left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0" borderId="1" applyBorder="1" fontId="10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4" applyNumberFormat="1" borderId="7" applyBorder="1" fontId="1" applyFont="1" fillId="0" applyAlignment="1">
      <alignment horizontal="center" wrapText="1"/>
    </xf>
    <xf xfId="0" numFmtId="4" applyNumberFormat="1" borderId="7" applyBorder="1" fontId="1" applyFont="1" fillId="3" applyFill="1" applyAlignment="1">
      <alignment horizontal="center" wrapText="1"/>
    </xf>
    <xf xfId="0" numFmtId="4" applyNumberFormat="1" borderId="4" applyBorder="1" fontId="1" applyFont="1" fillId="0" applyAlignment="1">
      <alignment horizontal="left" wrapText="1"/>
    </xf>
    <xf xfId="0" numFmtId="4" applyNumberFormat="1" borderId="4" applyBorder="1" fontId="1" applyFont="1" fillId="0" applyAlignment="1">
      <alignment horizontal="center" wrapText="1"/>
    </xf>
    <xf xfId="0" numFmtId="4" applyNumberFormat="1" borderId="4" applyBorder="1" fontId="1" applyFont="1" fillId="4" applyFill="1" applyAlignment="1">
      <alignment horizontal="center" wrapText="1"/>
    </xf>
    <xf xfId="0" numFmtId="4" applyNumberFormat="1" borderId="4" applyBorder="1" fontId="4" applyFont="1" fillId="0" applyAlignment="1">
      <alignment horizontal="left" wrapText="1"/>
    </xf>
    <xf xfId="0" numFmtId="0" borderId="3" applyBorder="1" fontId="11" applyFont="1" fillId="0" applyAlignment="1">
      <alignment horizontal="left"/>
    </xf>
    <xf xfId="0" numFmtId="4" applyNumberFormat="1" borderId="4" applyBorder="1" fontId="1" applyFont="1" fillId="3" applyFill="1" applyAlignment="1">
      <alignment horizontal="center" wrapText="1"/>
    </xf>
    <xf xfId="0" numFmtId="4" applyNumberFormat="1" borderId="4" applyBorder="1" fontId="8" applyFont="1" fillId="0" applyAlignment="1">
      <alignment horizontal="left" wrapText="1"/>
    </xf>
    <xf xfId="0" numFmtId="4" applyNumberFormat="1" borderId="8" applyBorder="1" fontId="1" applyFont="1" fillId="3" applyFill="1" applyAlignment="1">
      <alignment horizontal="center" wrapText="1"/>
    </xf>
    <xf xfId="0" numFmtId="4" applyNumberFormat="1" borderId="8" applyBorder="1" fontId="1" applyFont="1" fillId="0" applyAlignment="1">
      <alignment horizontal="center" wrapText="1"/>
    </xf>
    <xf xfId="0" numFmtId="4" applyNumberFormat="1" borderId="9" applyBorder="1" fontId="1" applyFont="1" fillId="0" applyAlignment="1">
      <alignment horizontal="center" wrapText="1"/>
    </xf>
    <xf xfId="0" numFmtId="4" applyNumberFormat="1" borderId="9" applyBorder="1" fontId="1" applyFont="1" fillId="4" applyFill="1" applyAlignment="1">
      <alignment horizontal="center" wrapText="1"/>
    </xf>
    <xf xfId="0" numFmtId="4" applyNumberFormat="1" borderId="0" fontId="0" fillId="0" applyAlignment="1">
      <alignment horizontal="center" wrapText="1"/>
    </xf>
    <xf xfId="0" numFmtId="4" applyNumberFormat="1" borderId="1" applyBorder="1" fontId="10" applyFont="1" fillId="0" applyAlignment="1">
      <alignment horizontal="center" wrapText="1"/>
    </xf>
    <xf xfId="0" numFmtId="4" applyNumberFormat="1" borderId="2" applyBorder="1" fontId="4" applyFont="1" fillId="0" applyAlignment="1">
      <alignment horizontal="center" wrapText="1"/>
    </xf>
    <xf xfId="0" numFmtId="3" applyNumberFormat="1" borderId="3" applyBorder="1" fontId="5" applyFont="1" fillId="0" applyAlignment="1">
      <alignment horizontal="left" wrapText="1"/>
    </xf>
    <xf xfId="0" numFmtId="3" applyNumberFormat="1" borderId="3" applyBorder="1" fontId="3" applyFont="1" fillId="0" applyAlignment="1">
      <alignment horizontal="center" wrapText="1"/>
    </xf>
    <xf xfId="0" numFmtId="4" applyNumberFormat="1" borderId="3" applyBorder="1" fontId="12" applyFont="1" fillId="0" applyAlignment="1">
      <alignment horizontal="right"/>
    </xf>
    <xf xfId="0" numFmtId="3" applyNumberFormat="1" borderId="3" applyBorder="1" fontId="6" applyFont="1" fillId="0" applyAlignment="1">
      <alignment horizontal="right"/>
    </xf>
    <xf xfId="0" numFmtId="4" applyNumberFormat="1" borderId="3" applyBorder="1" fontId="6" applyFont="1" fillId="0" applyAlignment="1">
      <alignment horizontal="right"/>
    </xf>
    <xf xfId="0" numFmtId="4" applyNumberFormat="1" borderId="3" applyBorder="1" fontId="13" applyFont="1" fillId="0" applyAlignment="1">
      <alignment horizontal="right"/>
    </xf>
    <xf xfId="0" numFmtId="1" applyNumberFormat="1" borderId="3" applyBorder="1" fontId="7" applyFont="1" fillId="0" applyAlignment="1">
      <alignment horizontal="right"/>
    </xf>
    <xf xfId="0" numFmtId="4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4" applyBorder="1" fontId="1" applyFont="1" fillId="0" quotePrefix="1" applyAlignment="1">
      <alignment horizontal="left" wrapText="1"/>
    </xf>
    <xf xfId="0" numFmtId="0" borderId="5" applyBorder="1" fontId="1" applyFont="1" fillId="0" applyAlignment="1">
      <alignment horizontal="right" wrapText="1"/>
    </xf>
    <xf xfId="0" numFmtId="0" borderId="6" applyBorder="1" fontId="1" applyFont="1" fillId="0" applyAlignment="1">
      <alignment horizontal="right" wrapText="1"/>
    </xf>
    <xf xfId="0" numFmtId="0" borderId="4" applyBorder="1" fontId="8" applyFont="1" fillId="0" quotePrefix="1" applyAlignment="1">
      <alignment horizontal="left" wrapText="1"/>
    </xf>
    <xf xfId="0" numFmtId="0" borderId="6" applyBorder="1" fontId="8" applyFont="1" fillId="0" applyAlignment="1">
      <alignment horizontal="right" wrapText="1"/>
    </xf>
    <xf xfId="0" numFmtId="0" borderId="6" applyBorder="1" fontId="1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51"/>
  <sheetViews>
    <sheetView workbookViewId="0" tabSelected="1"/>
  </sheetViews>
  <sheetFormatPr defaultRowHeight="15" x14ac:dyDescent="0.25"/>
  <cols>
    <col min="1" max="1" style="40" width="11.862142857142858" customWidth="1" bestFit="1"/>
    <col min="2" max="2" style="40" width="11.862142857142858" customWidth="1" bestFit="1"/>
    <col min="3" max="3" style="40" width="11.862142857142858" customWidth="1" bestFit="1"/>
    <col min="4" max="4" style="35" width="11.862142857142858" customWidth="1" bestFit="1"/>
    <col min="5" max="5" style="35" width="11.862142857142858" customWidth="1" bestFit="1"/>
    <col min="6" max="6" style="40" width="11.862142857142858" customWidth="1" bestFit="1"/>
    <col min="7" max="7" style="34" width="11.862142857142858" customWidth="1" bestFit="1"/>
    <col min="8" max="8" style="35" width="13.005" customWidth="1" bestFit="1"/>
    <col min="9" max="9" style="38" width="11.862142857142858" customWidth="1" bestFit="1"/>
    <col min="10" max="10" style="37" width="14.290714285714287" customWidth="1" bestFit="1"/>
    <col min="11" max="11" style="38" width="11.862142857142858" customWidth="1" bestFit="1"/>
    <col min="12" max="12" style="37" width="14.147857142857141" customWidth="1" bestFit="1"/>
    <col min="13" max="13" style="38" width="16.290714285714284" customWidth="1" bestFit="1"/>
    <col min="14" max="14" style="37" width="17.14785714285714" customWidth="1" bestFit="1"/>
    <col min="15" max="15" style="38" width="17.433571428571426" customWidth="1" bestFit="1"/>
    <col min="16" max="16" style="37" width="22.862142857142857" customWidth="1" bestFit="1"/>
    <col min="17" max="17" style="39" width="11.862142857142858" customWidth="1" bestFit="1"/>
    <col min="18" max="18" style="39" width="11.862142857142858" customWidth="1" bestFit="1"/>
    <col min="19" max="19" style="39" width="11.862142857142858" customWidth="1" bestFit="1"/>
    <col min="20" max="20" style="39" width="11.862142857142858" customWidth="1" bestFit="1"/>
    <col min="21" max="21" style="37" width="11.862142857142858" customWidth="1" bestFit="1"/>
    <col min="22" max="22" style="37" width="11.862142857142858" customWidth="1" bestFit="1"/>
    <col min="23" max="23" style="37" width="11.862142857142858" customWidth="1" bestFit="1"/>
    <col min="24" max="24" style="35" width="13.005" customWidth="1" bestFit="1"/>
    <col min="25" max="25" style="39" width="11.862142857142858" customWidth="1" bestFit="1"/>
    <col min="26" max="26" style="39" width="11.862142857142858" customWidth="1" bestFit="1"/>
    <col min="27" max="27" style="39" width="11.862142857142858" customWidth="1" bestFit="1"/>
    <col min="28" max="28" style="39" width="11.862142857142858" customWidth="1" bestFit="1"/>
    <col min="29" max="29" style="39" width="11.862142857142858" customWidth="1" bestFit="1"/>
    <col min="30" max="30" style="39" width="11.862142857142858" customWidth="1" bestFit="1"/>
    <col min="31" max="31" style="39" width="11.862142857142858" customWidth="1" bestFit="1"/>
    <col min="32" max="32" style="39" width="11.862142857142858" customWidth="1" bestFit="1"/>
  </cols>
  <sheetData>
    <row x14ac:dyDescent="0.25" r="1" customHeight="1" ht="16.5" customFormat="1" s="1">
      <c r="A1" s="3"/>
      <c r="B1" s="3"/>
      <c r="C1" s="3"/>
      <c r="D1" s="3"/>
      <c r="E1" s="3"/>
      <c r="F1" s="3"/>
      <c r="G1" s="2"/>
      <c r="H1" s="3"/>
      <c r="I1" s="5" t="s">
        <v>6</v>
      </c>
      <c r="J1" s="4" t="s">
        <v>7</v>
      </c>
      <c r="K1" s="5" t="s">
        <v>8</v>
      </c>
      <c r="L1" s="4" t="s">
        <v>9</v>
      </c>
      <c r="M1" s="5" t="s">
        <v>10</v>
      </c>
      <c r="N1" s="4" t="s">
        <v>11</v>
      </c>
      <c r="O1" s="5" t="s">
        <v>12</v>
      </c>
      <c r="P1" s="4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6" t="s">
        <v>18</v>
      </c>
      <c r="V1" s="6" t="s">
        <v>19</v>
      </c>
      <c r="W1" s="6" t="s">
        <v>20</v>
      </c>
      <c r="X1" s="3"/>
      <c r="Y1" s="8" t="s">
        <v>21</v>
      </c>
      <c r="Z1" s="8" t="s">
        <v>22</v>
      </c>
      <c r="AA1" s="8" t="s">
        <v>23</v>
      </c>
      <c r="AB1" s="8" t="s">
        <v>24</v>
      </c>
      <c r="AC1" s="9" t="s">
        <v>25</v>
      </c>
      <c r="AD1" s="9" t="s">
        <v>26</v>
      </c>
      <c r="AE1" s="9" t="s">
        <v>27</v>
      </c>
      <c r="AF1" s="9" t="s">
        <v>28</v>
      </c>
    </row>
    <row x14ac:dyDescent="0.25" r="2" customHeight="1" ht="16.5">
      <c r="A2" s="21"/>
      <c r="B2" s="21"/>
      <c r="C2" s="14"/>
      <c r="D2" s="70" t="s">
        <v>96</v>
      </c>
      <c r="E2" s="71"/>
      <c r="F2" s="21"/>
      <c r="G2" s="14">
        <v>1</v>
      </c>
      <c r="H2" s="15" t="s">
        <v>33</v>
      </c>
      <c r="I2" s="45">
        <v>2.00198</v>
      </c>
      <c r="J2" s="45">
        <v>1.23186</v>
      </c>
      <c r="K2" s="45">
        <v>1.51977</v>
      </c>
      <c r="L2" s="45">
        <v>1.34854</v>
      </c>
      <c r="M2" s="17">
        <f>LN(I2)</f>
      </c>
      <c r="N2" s="17">
        <f>LN(J2)</f>
      </c>
      <c r="O2" s="17">
        <f>LN(K2)</f>
      </c>
      <c r="P2" s="17">
        <f>LN(L2)</f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5" t="s">
        <v>33</v>
      </c>
      <c r="Y2" s="18">
        <v>737</v>
      </c>
      <c r="Z2" s="18">
        <v>384.5</v>
      </c>
      <c r="AA2" s="18">
        <v>398</v>
      </c>
      <c r="AB2" s="18">
        <v>0</v>
      </c>
      <c r="AC2" s="19">
        <v>1</v>
      </c>
      <c r="AD2" s="19">
        <v>1</v>
      </c>
      <c r="AE2" s="19">
        <v>1</v>
      </c>
      <c r="AF2" s="19">
        <v>0</v>
      </c>
    </row>
    <row x14ac:dyDescent="0.25" r="3" customHeight="1" ht="16.5">
      <c r="A3" s="21"/>
      <c r="B3" s="21"/>
      <c r="C3" s="14"/>
      <c r="D3" s="70" t="s">
        <v>96</v>
      </c>
      <c r="E3" s="72"/>
      <c r="F3" s="21"/>
      <c r="G3" s="14">
        <v>2</v>
      </c>
      <c r="H3" s="15" t="s">
        <v>34</v>
      </c>
      <c r="I3" s="45">
        <v>3.3862</v>
      </c>
      <c r="J3" s="45">
        <v>0.36234</v>
      </c>
      <c r="K3" s="46">
        <v>5.0707</v>
      </c>
      <c r="L3" s="45">
        <v>2.89414</v>
      </c>
      <c r="M3" s="17">
        <f>LN(I3)</f>
      </c>
      <c r="N3" s="17">
        <f>LN(J3)</f>
      </c>
      <c r="O3" s="17">
        <f>LN(K3)</f>
      </c>
      <c r="P3" s="17">
        <f>LN(L3)</f>
      </c>
      <c r="Q3" s="17">
        <v>1</v>
      </c>
      <c r="R3" s="17">
        <v>1</v>
      </c>
      <c r="S3" s="17">
        <v>0</v>
      </c>
      <c r="T3" s="17">
        <v>1</v>
      </c>
      <c r="U3" s="17">
        <v>199</v>
      </c>
      <c r="V3" s="17">
        <v>27.3</v>
      </c>
      <c r="W3" s="17">
        <v>0</v>
      </c>
      <c r="X3" s="15" t="s">
        <v>34</v>
      </c>
      <c r="Y3" s="18">
        <v>1000</v>
      </c>
      <c r="Z3" s="18">
        <v>679.5</v>
      </c>
      <c r="AA3" s="18">
        <v>0</v>
      </c>
      <c r="AB3" s="18">
        <v>1000</v>
      </c>
      <c r="AC3" s="19">
        <v>1</v>
      </c>
      <c r="AD3" s="19">
        <v>1</v>
      </c>
      <c r="AE3" s="19">
        <v>0</v>
      </c>
      <c r="AF3" s="19">
        <v>1</v>
      </c>
    </row>
    <row x14ac:dyDescent="0.25" r="4" customHeight="1" ht="16.5">
      <c r="A4" s="21"/>
      <c r="B4" s="21"/>
      <c r="C4" s="14"/>
      <c r="D4" s="70" t="s">
        <v>96</v>
      </c>
      <c r="E4" s="72"/>
      <c r="F4" s="21"/>
      <c r="G4" s="14">
        <v>3</v>
      </c>
      <c r="H4" s="15" t="s">
        <v>35</v>
      </c>
      <c r="I4" s="48">
        <v>2.25297</v>
      </c>
      <c r="J4" s="48">
        <v>1.64866</v>
      </c>
      <c r="K4" s="52">
        <v>12.98866</v>
      </c>
      <c r="L4" s="48">
        <v>2.36945</v>
      </c>
      <c r="M4" s="17">
        <f>LN(I4)</f>
      </c>
      <c r="N4" s="17">
        <f>LN(J4)</f>
      </c>
      <c r="O4" s="17">
        <f>LN(K4)</f>
      </c>
      <c r="P4" s="17">
        <f>LN(L4)</f>
      </c>
      <c r="Q4" s="17">
        <v>10</v>
      </c>
      <c r="R4" s="17">
        <v>3</v>
      </c>
      <c r="S4" s="17">
        <v>2</v>
      </c>
      <c r="T4" s="17">
        <v>1</v>
      </c>
      <c r="U4" s="17">
        <v>137</v>
      </c>
      <c r="V4" s="17">
        <v>53.7</v>
      </c>
      <c r="W4" s="17">
        <v>53.7</v>
      </c>
      <c r="X4" s="15" t="s">
        <v>35</v>
      </c>
      <c r="Y4" s="18">
        <v>0</v>
      </c>
      <c r="Z4" s="18">
        <v>0</v>
      </c>
      <c r="AA4" s="18">
        <v>0</v>
      </c>
      <c r="AB4" s="18">
        <v>0</v>
      </c>
      <c r="AC4" s="19">
        <v>0</v>
      </c>
      <c r="AD4" s="19">
        <v>0</v>
      </c>
      <c r="AE4" s="19">
        <v>0</v>
      </c>
      <c r="AF4" s="19">
        <v>0</v>
      </c>
    </row>
    <row x14ac:dyDescent="0.25" r="5" customHeight="1" ht="16.5">
      <c r="A5" s="21"/>
      <c r="B5" s="21"/>
      <c r="C5" s="14"/>
      <c r="D5" s="70" t="s">
        <v>96</v>
      </c>
      <c r="E5" s="72"/>
      <c r="F5" s="21"/>
      <c r="G5" s="14">
        <v>4</v>
      </c>
      <c r="H5" s="15" t="s">
        <v>36</v>
      </c>
      <c r="I5" s="48">
        <v>1.8316</v>
      </c>
      <c r="J5" s="49">
        <v>0.00224</v>
      </c>
      <c r="K5" s="52">
        <v>6.31256</v>
      </c>
      <c r="L5" s="48">
        <v>3.7731</v>
      </c>
      <c r="M5" s="17">
        <f>LN(I5)</f>
      </c>
      <c r="N5" s="17">
        <f>LN(J5)</f>
      </c>
      <c r="O5" s="17">
        <f>LN(K5)</f>
      </c>
      <c r="P5" s="17">
        <f>LN(L5)</f>
      </c>
      <c r="Q5" s="17">
        <v>12</v>
      </c>
      <c r="R5" s="17">
        <v>6</v>
      </c>
      <c r="S5" s="17">
        <v>3</v>
      </c>
      <c r="T5" s="17">
        <v>5</v>
      </c>
      <c r="U5" s="17">
        <v>126.5</v>
      </c>
      <c r="V5" s="17">
        <v>46.8</v>
      </c>
      <c r="W5" s="17">
        <v>46.8</v>
      </c>
      <c r="X5" s="15" t="s">
        <v>36</v>
      </c>
      <c r="Y5" s="18">
        <v>466.5</v>
      </c>
      <c r="Z5" s="18">
        <v>513.5</v>
      </c>
      <c r="AA5" s="18">
        <v>965</v>
      </c>
      <c r="AB5" s="18">
        <v>1000</v>
      </c>
      <c r="AC5" s="19">
        <v>2</v>
      </c>
      <c r="AD5" s="19">
        <v>2</v>
      </c>
      <c r="AE5" s="19">
        <v>2</v>
      </c>
      <c r="AF5" s="19">
        <v>4</v>
      </c>
    </row>
    <row x14ac:dyDescent="0.25" r="6" customHeight="1" ht="16.5">
      <c r="A6" s="21"/>
      <c r="B6" s="21"/>
      <c r="C6" s="14"/>
      <c r="D6" s="70" t="s">
        <v>96</v>
      </c>
      <c r="E6" s="72"/>
      <c r="F6" s="21"/>
      <c r="G6" s="14">
        <v>5</v>
      </c>
      <c r="H6" s="15" t="s">
        <v>37</v>
      </c>
      <c r="I6" s="48">
        <v>3.14833</v>
      </c>
      <c r="J6" s="48">
        <v>0.3376</v>
      </c>
      <c r="K6" s="48">
        <v>1.91468</v>
      </c>
      <c r="L6" s="48">
        <v>1.85568</v>
      </c>
      <c r="M6" s="17">
        <f>LN(I6)</f>
      </c>
      <c r="N6" s="17">
        <f>LN(J6)</f>
      </c>
      <c r="O6" s="17">
        <f>LN(K6)</f>
      </c>
      <c r="P6" s="17">
        <f>LN(L6)</f>
      </c>
      <c r="Q6" s="17">
        <v>7</v>
      </c>
      <c r="R6" s="17">
        <v>3</v>
      </c>
      <c r="S6" s="17">
        <v>1</v>
      </c>
      <c r="T6" s="17">
        <v>2</v>
      </c>
      <c r="U6" s="17">
        <v>70.5</v>
      </c>
      <c r="V6" s="17">
        <v>39.3</v>
      </c>
      <c r="W6" s="17">
        <v>30.7</v>
      </c>
      <c r="X6" s="15" t="s">
        <v>37</v>
      </c>
      <c r="Y6" s="18">
        <v>272.5</v>
      </c>
      <c r="Z6" s="18">
        <v>0</v>
      </c>
      <c r="AA6" s="18">
        <v>0</v>
      </c>
      <c r="AB6" s="18">
        <v>1000</v>
      </c>
      <c r="AC6" s="19">
        <v>1</v>
      </c>
      <c r="AD6" s="19">
        <v>0</v>
      </c>
      <c r="AE6" s="19">
        <v>0</v>
      </c>
      <c r="AF6" s="19">
        <v>1</v>
      </c>
    </row>
    <row x14ac:dyDescent="0.25" r="7" customHeight="1" ht="16.5">
      <c r="A7" s="21"/>
      <c r="B7" s="21"/>
      <c r="C7" s="14"/>
      <c r="D7" s="70" t="s">
        <v>96</v>
      </c>
      <c r="E7" s="72"/>
      <c r="F7" s="21"/>
      <c r="G7" s="14">
        <v>6</v>
      </c>
      <c r="H7" s="15" t="s">
        <v>38</v>
      </c>
      <c r="I7" s="48">
        <v>1.49317</v>
      </c>
      <c r="J7" s="49">
        <v>0.19623</v>
      </c>
      <c r="K7" s="48">
        <v>2.73884</v>
      </c>
      <c r="L7" s="48">
        <v>0.9814</v>
      </c>
      <c r="M7" s="17">
        <f>LN(I7)</f>
      </c>
      <c r="N7" s="17">
        <f>LN(J7)</f>
      </c>
      <c r="O7" s="17">
        <f>LN(K7)</f>
      </c>
      <c r="P7" s="17">
        <f>LN(L7)</f>
      </c>
      <c r="Q7" s="17">
        <v>1</v>
      </c>
      <c r="R7" s="17">
        <v>1</v>
      </c>
      <c r="S7" s="17">
        <v>0</v>
      </c>
      <c r="T7" s="17">
        <v>1</v>
      </c>
      <c r="U7" s="17">
        <v>121.5</v>
      </c>
      <c r="V7" s="17">
        <v>46.3</v>
      </c>
      <c r="W7" s="17">
        <v>0</v>
      </c>
      <c r="X7" s="15" t="s">
        <v>38</v>
      </c>
      <c r="Y7" s="18">
        <v>0</v>
      </c>
      <c r="Z7" s="18">
        <v>370</v>
      </c>
      <c r="AA7" s="18">
        <v>0</v>
      </c>
      <c r="AB7" s="18">
        <v>1000</v>
      </c>
      <c r="AC7" s="19">
        <v>0</v>
      </c>
      <c r="AD7" s="19">
        <v>1</v>
      </c>
      <c r="AE7" s="19">
        <v>0</v>
      </c>
      <c r="AF7" s="19">
        <v>1</v>
      </c>
    </row>
    <row x14ac:dyDescent="0.25" r="8" customHeight="1" ht="16.5">
      <c r="A8" s="21"/>
      <c r="B8" s="21"/>
      <c r="C8" s="14"/>
      <c r="D8" s="70" t="s">
        <v>96</v>
      </c>
      <c r="E8" s="72"/>
      <c r="F8" s="21"/>
      <c r="G8" s="14">
        <v>7</v>
      </c>
      <c r="H8" s="15" t="s">
        <v>39</v>
      </c>
      <c r="I8" s="48">
        <v>2.79825</v>
      </c>
      <c r="J8" s="49">
        <v>0.14758</v>
      </c>
      <c r="K8" s="52">
        <v>4.17449</v>
      </c>
      <c r="L8" s="48">
        <v>1.88836</v>
      </c>
      <c r="M8" s="17">
        <f>LN(I8)</f>
      </c>
      <c r="N8" s="17">
        <f>LN(J8)</f>
      </c>
      <c r="O8" s="17">
        <f>LN(K8)</f>
      </c>
      <c r="P8" s="17">
        <f>LN(L8)</f>
      </c>
      <c r="Q8" s="17">
        <v>10</v>
      </c>
      <c r="R8" s="17">
        <v>5</v>
      </c>
      <c r="S8" s="17">
        <v>3</v>
      </c>
      <c r="T8" s="17">
        <v>3</v>
      </c>
      <c r="U8" s="17">
        <v>182</v>
      </c>
      <c r="V8" s="17">
        <v>54</v>
      </c>
      <c r="W8" s="17">
        <v>54</v>
      </c>
      <c r="X8" s="15" t="s">
        <v>39</v>
      </c>
      <c r="Y8" s="18">
        <v>0</v>
      </c>
      <c r="Z8" s="18">
        <v>494.5</v>
      </c>
      <c r="AA8" s="18">
        <v>0</v>
      </c>
      <c r="AB8" s="18">
        <v>1000</v>
      </c>
      <c r="AC8" s="19">
        <v>0</v>
      </c>
      <c r="AD8" s="19">
        <v>1</v>
      </c>
      <c r="AE8" s="19">
        <v>0</v>
      </c>
      <c r="AF8" s="19">
        <v>2</v>
      </c>
    </row>
    <row x14ac:dyDescent="0.25" r="9" customHeight="1" ht="16.5">
      <c r="A9" s="21"/>
      <c r="B9" s="21"/>
      <c r="C9" s="14"/>
      <c r="D9" s="70" t="s">
        <v>96</v>
      </c>
      <c r="E9" s="72"/>
      <c r="F9" s="21"/>
      <c r="G9" s="14">
        <v>8</v>
      </c>
      <c r="H9" s="15" t="s">
        <v>40</v>
      </c>
      <c r="I9" s="48">
        <v>2.31461</v>
      </c>
      <c r="J9" s="48">
        <v>0.49775</v>
      </c>
      <c r="K9" s="52">
        <v>4.03158</v>
      </c>
      <c r="L9" s="48">
        <v>1.3102</v>
      </c>
      <c r="M9" s="17">
        <f>LN(I9)</f>
      </c>
      <c r="N9" s="17">
        <f>LN(J9)</f>
      </c>
      <c r="O9" s="17">
        <f>LN(K9)</f>
      </c>
      <c r="P9" s="17">
        <f>LN(L9)</f>
      </c>
      <c r="Q9" s="17">
        <v>10</v>
      </c>
      <c r="R9" s="17">
        <v>5</v>
      </c>
      <c r="S9" s="17">
        <v>2</v>
      </c>
      <c r="T9" s="17">
        <v>3</v>
      </c>
      <c r="U9" s="17">
        <v>210</v>
      </c>
      <c r="V9" s="17">
        <v>52</v>
      </c>
      <c r="W9" s="17">
        <v>47.1</v>
      </c>
      <c r="X9" s="15" t="s">
        <v>40</v>
      </c>
      <c r="Y9" s="18">
        <v>500</v>
      </c>
      <c r="Z9" s="18">
        <v>530</v>
      </c>
      <c r="AA9" s="18">
        <v>0</v>
      </c>
      <c r="AB9" s="18">
        <v>1000</v>
      </c>
      <c r="AC9" s="19">
        <v>1</v>
      </c>
      <c r="AD9" s="19">
        <v>1</v>
      </c>
      <c r="AE9" s="19">
        <v>0</v>
      </c>
      <c r="AF9" s="19">
        <v>3</v>
      </c>
    </row>
    <row x14ac:dyDescent="0.25" r="10" customHeight="1" ht="16.5">
      <c r="A10" s="21"/>
      <c r="B10" s="21"/>
      <c r="C10" s="14"/>
      <c r="D10" s="70" t="s">
        <v>96</v>
      </c>
      <c r="E10" s="72"/>
      <c r="F10" s="21"/>
      <c r="G10" s="14">
        <v>9</v>
      </c>
      <c r="H10" s="15" t="s">
        <v>41</v>
      </c>
      <c r="I10" s="52">
        <v>9.54681</v>
      </c>
      <c r="J10" s="49">
        <v>0.20838</v>
      </c>
      <c r="K10" s="52">
        <v>5.9022</v>
      </c>
      <c r="L10" s="52">
        <v>4.44511</v>
      </c>
      <c r="M10" s="17">
        <f>LN(I10)</f>
      </c>
      <c r="N10" s="17">
        <f>LN(J10)</f>
      </c>
      <c r="O10" s="17">
        <f>LN(K10)</f>
      </c>
      <c r="P10" s="17">
        <f>LN(L10)</f>
      </c>
      <c r="Q10" s="17">
        <v>9</v>
      </c>
      <c r="R10" s="17">
        <v>3</v>
      </c>
      <c r="S10" s="17">
        <v>3</v>
      </c>
      <c r="T10" s="17">
        <v>4</v>
      </c>
      <c r="U10" s="17">
        <v>103</v>
      </c>
      <c r="V10" s="17">
        <v>51.3</v>
      </c>
      <c r="W10" s="17">
        <v>51.3</v>
      </c>
      <c r="X10" s="15" t="s">
        <v>41</v>
      </c>
      <c r="Y10" s="18">
        <v>0</v>
      </c>
      <c r="Z10" s="18">
        <v>0</v>
      </c>
      <c r="AA10" s="18">
        <v>0</v>
      </c>
      <c r="AB10" s="18">
        <v>1000</v>
      </c>
      <c r="AC10" s="19">
        <v>0</v>
      </c>
      <c r="AD10" s="19">
        <v>0</v>
      </c>
      <c r="AE10" s="19">
        <v>0</v>
      </c>
      <c r="AF10" s="19">
        <v>2</v>
      </c>
    </row>
    <row x14ac:dyDescent="0.25" r="11" customHeight="1" ht="16.5">
      <c r="A11" s="21"/>
      <c r="B11" s="21"/>
      <c r="C11" s="14"/>
      <c r="D11" s="70" t="s">
        <v>96</v>
      </c>
      <c r="E11" s="72"/>
      <c r="F11" s="21"/>
      <c r="G11" s="14">
        <v>10</v>
      </c>
      <c r="H11" s="15" t="s">
        <v>42</v>
      </c>
      <c r="I11" s="48">
        <v>1.43673</v>
      </c>
      <c r="J11" s="49">
        <v>0.12197</v>
      </c>
      <c r="K11" s="52">
        <v>4.02256</v>
      </c>
      <c r="L11" s="48">
        <v>1.47112</v>
      </c>
      <c r="M11" s="17">
        <f>LN(I11)</f>
      </c>
      <c r="N11" s="17">
        <f>LN(J11)</f>
      </c>
      <c r="O11" s="17">
        <f>LN(K11)</f>
      </c>
      <c r="P11" s="17">
        <f>LN(L11)</f>
      </c>
      <c r="Q11" s="17">
        <v>3</v>
      </c>
      <c r="R11" s="17">
        <v>2</v>
      </c>
      <c r="S11" s="17">
        <v>0</v>
      </c>
      <c r="T11" s="17">
        <v>0</v>
      </c>
      <c r="U11" s="17">
        <v>0</v>
      </c>
      <c r="V11" s="17">
        <v>46.3</v>
      </c>
      <c r="W11" s="17">
        <v>0</v>
      </c>
      <c r="X11" s="15" t="s">
        <v>42</v>
      </c>
      <c r="Y11" s="18">
        <v>0</v>
      </c>
      <c r="Z11" s="18">
        <v>0</v>
      </c>
      <c r="AA11" s="18">
        <v>0</v>
      </c>
      <c r="AB11" s="18">
        <v>0</v>
      </c>
      <c r="AC11" s="19">
        <v>0</v>
      </c>
      <c r="AD11" s="19">
        <v>0</v>
      </c>
      <c r="AE11" s="19">
        <v>0</v>
      </c>
      <c r="AF11" s="19">
        <v>0</v>
      </c>
    </row>
    <row x14ac:dyDescent="0.25" r="12" customHeight="1" ht="16.5">
      <c r="A12" s="21"/>
      <c r="B12" s="21"/>
      <c r="C12" s="14"/>
      <c r="D12" s="70" t="s">
        <v>96</v>
      </c>
      <c r="E12" s="72"/>
      <c r="F12" s="21"/>
      <c r="G12" s="14">
        <v>11</v>
      </c>
      <c r="H12" s="15" t="s">
        <v>43</v>
      </c>
      <c r="I12" s="48">
        <v>3.1192</v>
      </c>
      <c r="J12" s="48">
        <v>0.9436</v>
      </c>
      <c r="K12" s="52">
        <v>4.46281</v>
      </c>
      <c r="L12" s="48">
        <v>1.91373</v>
      </c>
      <c r="M12" s="17">
        <f>LN(I12)</f>
      </c>
      <c r="N12" s="17">
        <f>LN(J12)</f>
      </c>
      <c r="O12" s="17">
        <f>LN(K12)</f>
      </c>
      <c r="P12" s="17">
        <f>LN(L12)</f>
      </c>
      <c r="Q12" s="17">
        <v>20</v>
      </c>
      <c r="R12" s="17">
        <v>10</v>
      </c>
      <c r="S12" s="17">
        <v>2</v>
      </c>
      <c r="T12" s="17">
        <v>5</v>
      </c>
      <c r="U12" s="17">
        <v>201</v>
      </c>
      <c r="V12" s="17">
        <v>53.1</v>
      </c>
      <c r="W12" s="17">
        <v>53.1</v>
      </c>
      <c r="X12" s="15" t="s">
        <v>43</v>
      </c>
      <c r="Y12" s="18">
        <v>0</v>
      </c>
      <c r="Z12" s="18">
        <v>0</v>
      </c>
      <c r="AA12" s="18">
        <v>1000</v>
      </c>
      <c r="AB12" s="18">
        <v>1000</v>
      </c>
      <c r="AC12" s="19">
        <v>0</v>
      </c>
      <c r="AD12" s="19">
        <v>0</v>
      </c>
      <c r="AE12" s="19">
        <v>1</v>
      </c>
      <c r="AF12" s="19">
        <v>5</v>
      </c>
    </row>
    <row x14ac:dyDescent="0.25" r="13" customHeight="1" ht="16.5">
      <c r="A13" s="21"/>
      <c r="B13" s="21"/>
      <c r="C13" s="14"/>
      <c r="D13" s="70" t="s">
        <v>96</v>
      </c>
      <c r="E13" s="72"/>
      <c r="F13" s="21"/>
      <c r="G13" s="14">
        <v>12</v>
      </c>
      <c r="H13" s="15" t="s">
        <v>44</v>
      </c>
      <c r="I13" s="52">
        <v>4.00056</v>
      </c>
      <c r="J13" s="48">
        <v>0.34696</v>
      </c>
      <c r="K13" s="52">
        <v>5.48051</v>
      </c>
      <c r="L13" s="48">
        <v>2.74871</v>
      </c>
      <c r="M13" s="17">
        <f>LN(I13)</f>
      </c>
      <c r="N13" s="17">
        <f>LN(J13)</f>
      </c>
      <c r="O13" s="17">
        <f>LN(K13)</f>
      </c>
      <c r="P13" s="17">
        <f>LN(L13)</f>
      </c>
      <c r="Q13" s="17">
        <v>7</v>
      </c>
      <c r="R13" s="17">
        <v>3</v>
      </c>
      <c r="S13" s="17">
        <v>3</v>
      </c>
      <c r="T13" s="17">
        <v>1</v>
      </c>
      <c r="U13" s="17">
        <v>150</v>
      </c>
      <c r="V13" s="17">
        <v>54.4</v>
      </c>
      <c r="W13" s="17">
        <v>0</v>
      </c>
      <c r="X13" s="15" t="s">
        <v>44</v>
      </c>
      <c r="Y13" s="18">
        <v>1000</v>
      </c>
      <c r="Z13" s="18">
        <v>601</v>
      </c>
      <c r="AA13" s="18">
        <v>0</v>
      </c>
      <c r="AB13" s="18">
        <v>1000</v>
      </c>
      <c r="AC13" s="19">
        <v>1</v>
      </c>
      <c r="AD13" s="19">
        <v>2</v>
      </c>
      <c r="AE13" s="19">
        <v>0</v>
      </c>
      <c r="AF13" s="19">
        <v>1</v>
      </c>
    </row>
    <row x14ac:dyDescent="0.25" r="14" customHeight="1" ht="16.5">
      <c r="A14" s="21"/>
      <c r="B14" s="21"/>
      <c r="C14" s="14"/>
      <c r="D14" s="70" t="s">
        <v>96</v>
      </c>
      <c r="E14" s="72"/>
      <c r="F14" s="21"/>
      <c r="G14" s="14">
        <v>13</v>
      </c>
      <c r="H14" s="15" t="s">
        <v>45</v>
      </c>
      <c r="I14" s="48">
        <v>2.69357</v>
      </c>
      <c r="J14" s="48">
        <v>0.52493</v>
      </c>
      <c r="K14" s="52">
        <v>5.56457</v>
      </c>
      <c r="L14" s="48">
        <v>1.56195</v>
      </c>
      <c r="M14" s="17">
        <f>LN(I14)</f>
      </c>
      <c r="N14" s="17">
        <f>LN(J14)</f>
      </c>
      <c r="O14" s="17">
        <f>LN(K14)</f>
      </c>
      <c r="P14" s="17">
        <f>LN(L14)</f>
      </c>
      <c r="Q14" s="17">
        <v>5</v>
      </c>
      <c r="R14" s="17">
        <v>4</v>
      </c>
      <c r="S14" s="17">
        <v>1</v>
      </c>
      <c r="T14" s="17">
        <v>1</v>
      </c>
      <c r="U14" s="17">
        <v>155</v>
      </c>
      <c r="V14" s="17">
        <v>57.5</v>
      </c>
      <c r="W14" s="17">
        <v>52.8</v>
      </c>
      <c r="X14" s="15" t="s">
        <v>45</v>
      </c>
      <c r="Y14" s="18">
        <v>1000</v>
      </c>
      <c r="Z14" s="18">
        <v>685</v>
      </c>
      <c r="AA14" s="18">
        <v>882</v>
      </c>
      <c r="AB14" s="18">
        <v>1000</v>
      </c>
      <c r="AC14" s="19">
        <v>2</v>
      </c>
      <c r="AD14" s="19">
        <v>2</v>
      </c>
      <c r="AE14" s="19">
        <v>1</v>
      </c>
      <c r="AF14" s="19">
        <v>3</v>
      </c>
    </row>
    <row x14ac:dyDescent="0.25" r="15" customHeight="1" ht="16.5">
      <c r="A15" s="21"/>
      <c r="B15" s="21"/>
      <c r="C15" s="14"/>
      <c r="D15" s="70" t="s">
        <v>96</v>
      </c>
      <c r="E15" s="72"/>
      <c r="F15" s="21"/>
      <c r="G15" s="14">
        <v>14</v>
      </c>
      <c r="H15" s="15" t="s">
        <v>46</v>
      </c>
      <c r="I15" s="48">
        <v>3.7563</v>
      </c>
      <c r="J15" s="48">
        <v>0.32995</v>
      </c>
      <c r="K15" s="52">
        <v>4.06991</v>
      </c>
      <c r="L15" s="48">
        <v>2.58084</v>
      </c>
      <c r="M15" s="17">
        <f>LN(I15)</f>
      </c>
      <c r="N15" s="17">
        <f>LN(J15)</f>
      </c>
      <c r="O15" s="17">
        <f>LN(K15)</f>
      </c>
      <c r="P15" s="17">
        <f>LN(L15)</f>
      </c>
      <c r="Q15" s="17">
        <v>8</v>
      </c>
      <c r="R15" s="17">
        <v>1</v>
      </c>
      <c r="S15" s="17">
        <v>0</v>
      </c>
      <c r="T15" s="17">
        <v>1</v>
      </c>
      <c r="U15" s="17">
        <v>97</v>
      </c>
      <c r="V15" s="17">
        <v>38.7</v>
      </c>
      <c r="W15" s="17">
        <v>0</v>
      </c>
      <c r="X15" s="15" t="s">
        <v>46</v>
      </c>
      <c r="Y15" s="18">
        <v>500</v>
      </c>
      <c r="Z15" s="18">
        <v>408.5</v>
      </c>
      <c r="AA15" s="18">
        <v>470</v>
      </c>
      <c r="AB15" s="18">
        <v>1000</v>
      </c>
      <c r="AC15" s="19">
        <v>1</v>
      </c>
      <c r="AD15" s="19">
        <v>1</v>
      </c>
      <c r="AE15" s="19">
        <v>1</v>
      </c>
      <c r="AF15" s="19">
        <v>2</v>
      </c>
    </row>
    <row x14ac:dyDescent="0.25" r="16" customHeight="1" ht="16.5">
      <c r="A16" s="21"/>
      <c r="B16" s="21"/>
      <c r="C16" s="14"/>
      <c r="D16" s="70" t="s">
        <v>96</v>
      </c>
      <c r="E16" s="72"/>
      <c r="F16" s="21"/>
      <c r="G16" s="14">
        <v>15</v>
      </c>
      <c r="H16" s="15" t="s">
        <v>47</v>
      </c>
      <c r="I16" s="52">
        <v>4.75677</v>
      </c>
      <c r="J16" s="48">
        <v>0.58294</v>
      </c>
      <c r="K16" s="48">
        <v>2.85941</v>
      </c>
      <c r="L16" s="48">
        <v>1.92565</v>
      </c>
      <c r="M16" s="17">
        <f>LN(I16)</f>
      </c>
      <c r="N16" s="17">
        <f>LN(J16)</f>
      </c>
      <c r="O16" s="17">
        <f>LN(K16)</f>
      </c>
      <c r="P16" s="17">
        <f>LN(L16)</f>
      </c>
      <c r="Q16" s="17">
        <v>14</v>
      </c>
      <c r="R16" s="17">
        <v>11</v>
      </c>
      <c r="S16" s="17">
        <v>3</v>
      </c>
      <c r="T16" s="17">
        <v>5</v>
      </c>
      <c r="U16" s="17">
        <v>227.5</v>
      </c>
      <c r="V16" s="17">
        <v>47.8</v>
      </c>
      <c r="W16" s="17">
        <v>47.8</v>
      </c>
      <c r="X16" s="15" t="s">
        <v>47</v>
      </c>
      <c r="Y16" s="18">
        <v>0</v>
      </c>
      <c r="Z16" s="18">
        <v>937.5</v>
      </c>
      <c r="AA16" s="18">
        <v>909</v>
      </c>
      <c r="AB16" s="18">
        <v>1000</v>
      </c>
      <c r="AC16" s="19">
        <v>0</v>
      </c>
      <c r="AD16" s="19">
        <v>2</v>
      </c>
      <c r="AE16" s="19">
        <v>1</v>
      </c>
      <c r="AF16" s="19">
        <v>5</v>
      </c>
    </row>
    <row x14ac:dyDescent="0.25" r="17" customHeight="1" ht="16.5">
      <c r="A17" s="21"/>
      <c r="B17" s="21"/>
      <c r="C17" s="14"/>
      <c r="D17" s="70" t="s">
        <v>96</v>
      </c>
      <c r="E17" s="72"/>
      <c r="F17" s="21"/>
      <c r="G17" s="14">
        <v>16</v>
      </c>
      <c r="H17" s="15" t="s">
        <v>48</v>
      </c>
      <c r="I17" s="48">
        <v>1.61279</v>
      </c>
      <c r="J17" s="49">
        <v>0.24521</v>
      </c>
      <c r="K17" s="52">
        <v>14.57303</v>
      </c>
      <c r="L17" s="48">
        <v>1.68207</v>
      </c>
      <c r="M17" s="17">
        <f>LN(I17)</f>
      </c>
      <c r="N17" s="17">
        <f>LN(J17)</f>
      </c>
      <c r="O17" s="17">
        <f>LN(K17)</f>
      </c>
      <c r="P17" s="17">
        <f>LN(L17)</f>
      </c>
      <c r="Q17" s="17">
        <v>12</v>
      </c>
      <c r="R17" s="17">
        <v>1</v>
      </c>
      <c r="S17" s="17">
        <v>0</v>
      </c>
      <c r="T17" s="17">
        <v>4</v>
      </c>
      <c r="U17" s="17">
        <v>115.5</v>
      </c>
      <c r="V17" s="17">
        <v>48.5</v>
      </c>
      <c r="W17" s="17">
        <v>0</v>
      </c>
      <c r="X17" s="15" t="s">
        <v>48</v>
      </c>
      <c r="Y17" s="18">
        <v>305</v>
      </c>
      <c r="Z17" s="18">
        <v>1000</v>
      </c>
      <c r="AA17" s="18">
        <v>577</v>
      </c>
      <c r="AB17" s="18">
        <v>1000</v>
      </c>
      <c r="AC17" s="19">
        <v>1</v>
      </c>
      <c r="AD17" s="19">
        <v>1</v>
      </c>
      <c r="AE17" s="19">
        <v>1</v>
      </c>
      <c r="AF17" s="19">
        <v>1</v>
      </c>
    </row>
    <row x14ac:dyDescent="0.25" r="18" customHeight="1" ht="16.5">
      <c r="A18" s="21"/>
      <c r="B18" s="21"/>
      <c r="C18" s="14"/>
      <c r="D18" s="70" t="s">
        <v>96</v>
      </c>
      <c r="E18" s="72"/>
      <c r="F18" s="21"/>
      <c r="G18" s="14">
        <v>17</v>
      </c>
      <c r="H18" s="15" t="s">
        <v>49</v>
      </c>
      <c r="I18" s="48">
        <v>2.90319</v>
      </c>
      <c r="J18" s="48">
        <v>0.78339</v>
      </c>
      <c r="K18" s="52">
        <v>7.0369</v>
      </c>
      <c r="L18" s="48">
        <v>1.01514</v>
      </c>
      <c r="M18" s="17">
        <f>LN(I18)</f>
      </c>
      <c r="N18" s="17">
        <f>LN(J18)</f>
      </c>
      <c r="O18" s="17">
        <f>LN(K18)</f>
      </c>
      <c r="P18" s="17">
        <f>LN(L18)</f>
      </c>
      <c r="Q18" s="17">
        <v>6</v>
      </c>
      <c r="R18" s="17">
        <v>2</v>
      </c>
      <c r="S18" s="17">
        <v>0</v>
      </c>
      <c r="T18" s="17">
        <v>1</v>
      </c>
      <c r="U18" s="17">
        <v>167</v>
      </c>
      <c r="V18" s="17">
        <v>49.3</v>
      </c>
      <c r="W18" s="17">
        <v>0</v>
      </c>
      <c r="X18" s="15" t="s">
        <v>49</v>
      </c>
      <c r="Y18" s="18">
        <v>1000</v>
      </c>
      <c r="Z18" s="18">
        <v>685</v>
      </c>
      <c r="AA18" s="18">
        <v>1000</v>
      </c>
      <c r="AB18" s="18">
        <v>1000</v>
      </c>
      <c r="AC18" s="19">
        <v>1</v>
      </c>
      <c r="AD18" s="19">
        <v>1</v>
      </c>
      <c r="AE18" s="19">
        <v>1</v>
      </c>
      <c r="AF18" s="19">
        <v>2</v>
      </c>
    </row>
    <row x14ac:dyDescent="0.25" r="19" customHeight="1" ht="16.5">
      <c r="A19" s="21"/>
      <c r="B19" s="21"/>
      <c r="C19" s="14"/>
      <c r="D19" s="70" t="s">
        <v>96</v>
      </c>
      <c r="E19" s="72"/>
      <c r="F19" s="21"/>
      <c r="G19" s="14">
        <v>18</v>
      </c>
      <c r="H19" s="15" t="s">
        <v>50</v>
      </c>
      <c r="I19" s="48">
        <v>1.57283</v>
      </c>
      <c r="J19" s="48">
        <v>0.35498</v>
      </c>
      <c r="K19" s="48">
        <v>2.91341</v>
      </c>
      <c r="L19" s="48">
        <v>0.78684</v>
      </c>
      <c r="M19" s="17">
        <f>LN(I19)</f>
      </c>
      <c r="N19" s="17">
        <f>LN(J19)</f>
      </c>
      <c r="O19" s="17">
        <f>LN(K19)</f>
      </c>
      <c r="P19" s="17">
        <f>LN(L19)</f>
      </c>
      <c r="Q19" s="17">
        <v>1</v>
      </c>
      <c r="R19" s="17">
        <v>4</v>
      </c>
      <c r="S19" s="17">
        <v>3</v>
      </c>
      <c r="T19" s="17">
        <v>1</v>
      </c>
      <c r="U19" s="17">
        <v>163</v>
      </c>
      <c r="V19" s="17">
        <v>53.8</v>
      </c>
      <c r="W19" s="17">
        <v>53.8</v>
      </c>
      <c r="X19" s="15" t="s">
        <v>50</v>
      </c>
      <c r="Y19" s="18">
        <v>1000</v>
      </c>
      <c r="Z19" s="18">
        <v>709.5</v>
      </c>
      <c r="AA19" s="18">
        <v>0</v>
      </c>
      <c r="AB19" s="18">
        <v>1000</v>
      </c>
      <c r="AC19" s="19">
        <v>2</v>
      </c>
      <c r="AD19" s="19">
        <v>1</v>
      </c>
      <c r="AE19" s="19">
        <v>0</v>
      </c>
      <c r="AF19" s="19">
        <v>3</v>
      </c>
    </row>
    <row x14ac:dyDescent="0.25" r="20" customHeight="1" ht="16.5">
      <c r="A20" s="21"/>
      <c r="B20" s="21"/>
      <c r="C20" s="14"/>
      <c r="D20" s="70" t="s">
        <v>96</v>
      </c>
      <c r="E20" s="72"/>
      <c r="F20" s="21"/>
      <c r="G20" s="14">
        <v>19</v>
      </c>
      <c r="H20" s="15" t="s">
        <v>51</v>
      </c>
      <c r="I20" s="48">
        <v>3.56896</v>
      </c>
      <c r="J20" s="48">
        <v>0.4556</v>
      </c>
      <c r="K20" s="48">
        <v>2.36504</v>
      </c>
      <c r="L20" s="48">
        <v>3.84222</v>
      </c>
      <c r="M20" s="17">
        <f>LN(I20)</f>
      </c>
      <c r="N20" s="17">
        <f>LN(J20)</f>
      </c>
      <c r="O20" s="17">
        <f>LN(K20)</f>
      </c>
      <c r="P20" s="17">
        <f>LN(L20)</f>
      </c>
      <c r="Q20" s="17">
        <v>4</v>
      </c>
      <c r="R20" s="17">
        <v>1</v>
      </c>
      <c r="S20" s="17">
        <v>1</v>
      </c>
      <c r="T20" s="17">
        <v>1</v>
      </c>
      <c r="U20" s="17">
        <v>141.5</v>
      </c>
      <c r="V20" s="17">
        <v>40.8</v>
      </c>
      <c r="W20" s="17">
        <v>40.8</v>
      </c>
      <c r="X20" s="15" t="s">
        <v>51</v>
      </c>
      <c r="Y20" s="18">
        <v>1000</v>
      </c>
      <c r="Z20" s="18">
        <v>859.5</v>
      </c>
      <c r="AA20" s="18">
        <v>0</v>
      </c>
      <c r="AB20" s="18">
        <v>1000</v>
      </c>
      <c r="AC20" s="19">
        <v>1</v>
      </c>
      <c r="AD20" s="19">
        <v>1</v>
      </c>
      <c r="AE20" s="19">
        <v>0</v>
      </c>
      <c r="AF20" s="19">
        <v>1</v>
      </c>
    </row>
    <row x14ac:dyDescent="0.25" r="21" customHeight="1" ht="16.5">
      <c r="A21" s="21"/>
      <c r="B21" s="21"/>
      <c r="C21" s="23"/>
      <c r="D21" s="73" t="s">
        <v>96</v>
      </c>
      <c r="E21" s="74"/>
      <c r="F21" s="21"/>
      <c r="G21" s="23">
        <v>20</v>
      </c>
      <c r="H21" s="24" t="s">
        <v>52</v>
      </c>
      <c r="I21" s="48">
        <v>3.93025</v>
      </c>
      <c r="J21" s="49">
        <v>0.18339</v>
      </c>
      <c r="K21" s="52">
        <v>4.7583</v>
      </c>
      <c r="L21" s="48">
        <v>2.77527</v>
      </c>
      <c r="M21" s="17">
        <f>LN(I21)</f>
      </c>
      <c r="N21" s="17">
        <f>LN(J21)</f>
      </c>
      <c r="O21" s="17">
        <f>LN(K21)</f>
      </c>
      <c r="P21" s="17">
        <f>LN(L21)</f>
      </c>
      <c r="Q21" s="17">
        <v>1</v>
      </c>
      <c r="R21" s="17">
        <v>3</v>
      </c>
      <c r="S21" s="17">
        <v>3</v>
      </c>
      <c r="T21" s="17">
        <v>1</v>
      </c>
      <c r="U21" s="17">
        <v>217</v>
      </c>
      <c r="V21" s="17">
        <v>37.6</v>
      </c>
      <c r="W21" s="17">
        <v>37.6</v>
      </c>
      <c r="X21" s="15" t="s">
        <v>52</v>
      </c>
      <c r="Y21" s="17">
        <v>912</v>
      </c>
      <c r="Z21" s="17">
        <v>370</v>
      </c>
      <c r="AA21" s="28">
        <v>0</v>
      </c>
      <c r="AB21" s="28">
        <v>1000</v>
      </c>
      <c r="AC21" s="29"/>
      <c r="AD21" s="29"/>
      <c r="AE21" s="28">
        <v>0</v>
      </c>
      <c r="AF21" s="28">
        <v>2</v>
      </c>
    </row>
    <row x14ac:dyDescent="0.25" r="22" customHeight="1" ht="16.5">
      <c r="A22" s="21"/>
      <c r="B22" s="21"/>
      <c r="C22" s="23"/>
      <c r="D22" s="73" t="s">
        <v>96</v>
      </c>
      <c r="E22" s="74"/>
      <c r="F22" s="21"/>
      <c r="G22" s="23">
        <v>21</v>
      </c>
      <c r="H22" s="24" t="s">
        <v>53</v>
      </c>
      <c r="I22" s="48">
        <v>2.60783</v>
      </c>
      <c r="J22" s="48">
        <v>0.3054</v>
      </c>
      <c r="K22" s="52">
        <v>5.07999</v>
      </c>
      <c r="L22" s="48">
        <v>1.47389</v>
      </c>
      <c r="M22" s="17">
        <f>LN(I22)</f>
      </c>
      <c r="N22" s="17">
        <f>LN(J22)</f>
      </c>
      <c r="O22" s="17">
        <f>LN(K22)</f>
      </c>
      <c r="P22" s="17">
        <f>LN(L22)</f>
      </c>
      <c r="Q22" s="17">
        <v>9</v>
      </c>
      <c r="R22" s="17">
        <v>2</v>
      </c>
      <c r="S22" s="17">
        <v>1</v>
      </c>
      <c r="T22" s="17">
        <v>1</v>
      </c>
      <c r="U22" s="17">
        <v>181.5</v>
      </c>
      <c r="V22" s="17">
        <v>35.4</v>
      </c>
      <c r="W22" s="17">
        <v>33.8</v>
      </c>
      <c r="X22" s="15" t="s">
        <v>53</v>
      </c>
      <c r="Y22" s="28">
        <v>1000</v>
      </c>
      <c r="Z22" s="28">
        <v>185</v>
      </c>
      <c r="AA22" s="28">
        <v>1000</v>
      </c>
      <c r="AB22" s="28">
        <v>1000</v>
      </c>
      <c r="AC22" s="28">
        <v>1</v>
      </c>
      <c r="AD22" s="28">
        <v>1</v>
      </c>
      <c r="AE22" s="28">
        <v>1</v>
      </c>
      <c r="AF22" s="28">
        <v>2</v>
      </c>
    </row>
    <row x14ac:dyDescent="0.25" r="23" customHeight="1" ht="16.5">
      <c r="A23" s="21"/>
      <c r="B23" s="21"/>
      <c r="C23" s="23"/>
      <c r="D23" s="73" t="s">
        <v>96</v>
      </c>
      <c r="E23" s="74"/>
      <c r="F23" s="21"/>
      <c r="G23" s="23">
        <v>23</v>
      </c>
      <c r="H23" s="24" t="s">
        <v>54</v>
      </c>
      <c r="I23" s="48">
        <v>3.03059</v>
      </c>
      <c r="J23" s="48">
        <v>0.38427</v>
      </c>
      <c r="K23" s="52">
        <v>4.23321</v>
      </c>
      <c r="L23" s="48">
        <v>2.15411</v>
      </c>
      <c r="M23" s="17">
        <f>LN(I23)</f>
      </c>
      <c r="N23" s="17">
        <f>LN(J23)</f>
      </c>
      <c r="O23" s="17">
        <f>LN(K23)</f>
      </c>
      <c r="P23" s="17">
        <f>LN(L23)</f>
      </c>
      <c r="Q23" s="17">
        <v>4</v>
      </c>
      <c r="R23" s="17">
        <v>1</v>
      </c>
      <c r="S23" s="17">
        <v>0</v>
      </c>
      <c r="T23" s="17">
        <v>1</v>
      </c>
      <c r="U23" s="17">
        <v>208.5</v>
      </c>
      <c r="V23" s="17">
        <v>46.5</v>
      </c>
      <c r="W23" s="17">
        <v>0</v>
      </c>
      <c r="X23" s="15" t="s">
        <v>54</v>
      </c>
      <c r="Y23" s="17">
        <v>0</v>
      </c>
      <c r="Z23" s="17">
        <v>909</v>
      </c>
      <c r="AA23" s="17">
        <v>0</v>
      </c>
      <c r="AB23" s="28">
        <v>994</v>
      </c>
      <c r="AC23" s="17">
        <v>0</v>
      </c>
      <c r="AD23" s="17">
        <v>1</v>
      </c>
      <c r="AE23" s="17">
        <v>0</v>
      </c>
      <c r="AF23" s="28">
        <v>1</v>
      </c>
    </row>
    <row x14ac:dyDescent="0.25" r="24" customHeight="1" ht="16.5">
      <c r="A24" s="21"/>
      <c r="B24" s="21"/>
      <c r="C24" s="23"/>
      <c r="D24" s="73" t="s">
        <v>96</v>
      </c>
      <c r="E24" s="74"/>
      <c r="F24" s="21"/>
      <c r="G24" s="23">
        <v>24</v>
      </c>
      <c r="H24" s="24" t="s">
        <v>55</v>
      </c>
      <c r="I24" s="48">
        <v>3.27424</v>
      </c>
      <c r="J24" s="48">
        <v>0.75958</v>
      </c>
      <c r="K24" s="52">
        <v>4.74295</v>
      </c>
      <c r="L24" s="48">
        <v>2.31072</v>
      </c>
      <c r="M24" s="17">
        <f>LN(I24)</f>
      </c>
      <c r="N24" s="17">
        <f>LN(J24)</f>
      </c>
      <c r="O24" s="17">
        <f>LN(K24)</f>
      </c>
      <c r="P24" s="17">
        <f>LN(L24)</f>
      </c>
      <c r="Q24" s="28">
        <v>1</v>
      </c>
      <c r="R24" s="28">
        <v>1</v>
      </c>
      <c r="S24" s="28">
        <v>1</v>
      </c>
      <c r="T24" s="28">
        <v>1</v>
      </c>
      <c r="U24" s="28">
        <v>181</v>
      </c>
      <c r="V24" s="17">
        <v>40.3</v>
      </c>
      <c r="W24" s="17">
        <v>40.3</v>
      </c>
      <c r="X24" s="15" t="s">
        <v>55</v>
      </c>
      <c r="Y24" s="28">
        <v>1000</v>
      </c>
      <c r="Z24" s="28">
        <v>611</v>
      </c>
      <c r="AA24" s="28">
        <v>674</v>
      </c>
      <c r="AB24" s="28">
        <v>1000</v>
      </c>
      <c r="AC24" s="28">
        <v>1</v>
      </c>
      <c r="AD24" s="28">
        <v>1</v>
      </c>
      <c r="AE24" s="28">
        <v>2</v>
      </c>
      <c r="AF24" s="28">
        <v>1</v>
      </c>
    </row>
    <row x14ac:dyDescent="0.25" r="25" customHeight="1" ht="16.5">
      <c r="A25" s="21"/>
      <c r="B25" s="21"/>
      <c r="C25" s="23"/>
      <c r="D25" s="73" t="s">
        <v>96</v>
      </c>
      <c r="E25" s="74"/>
      <c r="F25" s="21"/>
      <c r="G25" s="23">
        <v>25</v>
      </c>
      <c r="H25" s="24" t="s">
        <v>56</v>
      </c>
      <c r="I25" s="48">
        <v>1.99151</v>
      </c>
      <c r="J25" s="49">
        <v>0.03823</v>
      </c>
      <c r="K25" s="48">
        <v>2.18317</v>
      </c>
      <c r="L25" s="48">
        <v>1.00795</v>
      </c>
      <c r="M25" s="17">
        <f>LN(I25)</f>
      </c>
      <c r="N25" s="17">
        <f>LN(J25)</f>
      </c>
      <c r="O25" s="17">
        <f>LN(K25)</f>
      </c>
      <c r="P25" s="17">
        <f>LN(L25)</f>
      </c>
      <c r="Q25" s="28">
        <v>4</v>
      </c>
      <c r="R25" s="28">
        <v>1</v>
      </c>
      <c r="S25" s="28">
        <v>0</v>
      </c>
      <c r="T25" s="28">
        <v>1</v>
      </c>
      <c r="U25" s="17">
        <v>76.5</v>
      </c>
      <c r="V25" s="17">
        <v>46.5</v>
      </c>
      <c r="W25" s="28">
        <v>0</v>
      </c>
      <c r="X25" s="15" t="s">
        <v>56</v>
      </c>
      <c r="Y25" s="28">
        <v>1000</v>
      </c>
      <c r="Z25" s="28">
        <v>685</v>
      </c>
      <c r="AA25" s="28">
        <v>942</v>
      </c>
      <c r="AB25" s="28">
        <v>1000</v>
      </c>
      <c r="AC25" s="28">
        <v>1</v>
      </c>
      <c r="AD25" s="28">
        <v>1</v>
      </c>
      <c r="AE25" s="28">
        <v>1</v>
      </c>
      <c r="AF25" s="28">
        <v>1</v>
      </c>
    </row>
    <row x14ac:dyDescent="0.25" r="26" customHeight="1" ht="16.5">
      <c r="A26" s="21"/>
      <c r="B26" s="21"/>
      <c r="C26" s="23"/>
      <c r="D26" s="73" t="s">
        <v>96</v>
      </c>
      <c r="E26" s="74"/>
      <c r="F26" s="21"/>
      <c r="G26" s="23">
        <v>26</v>
      </c>
      <c r="H26" s="24" t="s">
        <v>57</v>
      </c>
      <c r="I26" s="48">
        <v>2.04389</v>
      </c>
      <c r="J26" s="48">
        <v>0.38094</v>
      </c>
      <c r="K26" s="48">
        <v>2.70025</v>
      </c>
      <c r="L26" s="48">
        <v>0.63785</v>
      </c>
      <c r="M26" s="17">
        <f>LN(I26)</f>
      </c>
      <c r="N26" s="17">
        <f>LN(J26)</f>
      </c>
      <c r="O26" s="17">
        <f>LN(K26)</f>
      </c>
      <c r="P26" s="17">
        <f>LN(L26)</f>
      </c>
      <c r="Q26" s="28">
        <v>6</v>
      </c>
      <c r="R26" s="28">
        <v>2</v>
      </c>
      <c r="S26" s="28">
        <v>0</v>
      </c>
      <c r="T26" s="28">
        <v>1</v>
      </c>
      <c r="U26" s="17">
        <v>216.5</v>
      </c>
      <c r="V26" s="17">
        <v>45.5</v>
      </c>
      <c r="W26" s="28">
        <v>0</v>
      </c>
      <c r="X26" s="15" t="s">
        <v>57</v>
      </c>
      <c r="Y26" s="17">
        <v>674.5</v>
      </c>
      <c r="Z26" s="28">
        <v>389</v>
      </c>
      <c r="AA26" s="28">
        <v>776</v>
      </c>
      <c r="AB26" s="28">
        <v>1000</v>
      </c>
      <c r="AC26" s="28">
        <v>2</v>
      </c>
      <c r="AD26" s="28">
        <v>1</v>
      </c>
      <c r="AE26" s="28">
        <v>1</v>
      </c>
      <c r="AF26" s="28">
        <v>3</v>
      </c>
    </row>
    <row x14ac:dyDescent="0.25" r="27" customHeight="1" ht="16.5">
      <c r="A27" s="21"/>
      <c r="B27" s="21"/>
      <c r="C27" s="23"/>
      <c r="D27" s="73" t="s">
        <v>96</v>
      </c>
      <c r="E27" s="74"/>
      <c r="F27" s="21"/>
      <c r="G27" s="23">
        <v>27</v>
      </c>
      <c r="H27" s="24" t="s">
        <v>58</v>
      </c>
      <c r="I27" s="48">
        <v>3.93911</v>
      </c>
      <c r="J27" s="49">
        <v>0.00939</v>
      </c>
      <c r="K27" s="48">
        <v>1.74293</v>
      </c>
      <c r="L27" s="48">
        <v>1.22255</v>
      </c>
      <c r="M27" s="17">
        <f>LN(I27)</f>
      </c>
      <c r="N27" s="17">
        <f>LN(J27)</f>
      </c>
      <c r="O27" s="17">
        <f>LN(K27)</f>
      </c>
      <c r="P27" s="17">
        <f>LN(L27)</f>
      </c>
      <c r="Q27" s="28">
        <v>2</v>
      </c>
      <c r="R27" s="28">
        <v>1</v>
      </c>
      <c r="S27" s="28">
        <v>1</v>
      </c>
      <c r="T27" s="28">
        <v>1</v>
      </c>
      <c r="U27" s="28">
        <v>84</v>
      </c>
      <c r="V27" s="17">
        <v>38.2</v>
      </c>
      <c r="W27" s="17">
        <v>38.2</v>
      </c>
      <c r="X27" s="15" t="s">
        <v>58</v>
      </c>
      <c r="Y27" s="28">
        <v>0</v>
      </c>
      <c r="Z27" s="28">
        <v>609</v>
      </c>
      <c r="AA27" s="28">
        <v>0</v>
      </c>
      <c r="AB27" s="28">
        <v>1000</v>
      </c>
      <c r="AC27" s="28">
        <v>0</v>
      </c>
      <c r="AD27" s="28">
        <v>1</v>
      </c>
      <c r="AE27" s="28">
        <v>0</v>
      </c>
      <c r="AF27" s="28">
        <v>1</v>
      </c>
    </row>
    <row x14ac:dyDescent="0.25" r="28" customHeight="1" ht="16.5">
      <c r="A28" s="21"/>
      <c r="B28" s="21"/>
      <c r="C28" s="23"/>
      <c r="D28" s="73" t="s">
        <v>96</v>
      </c>
      <c r="E28" s="74"/>
      <c r="F28" s="21"/>
      <c r="G28" s="23">
        <v>28</v>
      </c>
      <c r="H28" s="24" t="s">
        <v>59</v>
      </c>
      <c r="I28" s="52">
        <v>12.28882</v>
      </c>
      <c r="J28" s="49">
        <v>0.22929</v>
      </c>
      <c r="K28" s="48">
        <v>1.25758</v>
      </c>
      <c r="L28" s="48">
        <v>1.05006</v>
      </c>
      <c r="M28" s="17">
        <f>LN(I28)</f>
      </c>
      <c r="N28" s="17">
        <f>LN(J28)</f>
      </c>
      <c r="O28" s="17">
        <f>LN(K28)</f>
      </c>
      <c r="P28" s="17">
        <f>LN(L28)</f>
      </c>
      <c r="Q28" s="28">
        <v>6</v>
      </c>
      <c r="R28" s="28">
        <v>5</v>
      </c>
      <c r="S28" s="28">
        <v>1</v>
      </c>
      <c r="T28" s="28">
        <v>2</v>
      </c>
      <c r="U28" s="17">
        <v>188.5</v>
      </c>
      <c r="V28" s="17">
        <v>47.5</v>
      </c>
      <c r="W28" s="17">
        <v>41.7</v>
      </c>
      <c r="X28" s="15" t="s">
        <v>59</v>
      </c>
      <c r="Y28" s="28">
        <v>0</v>
      </c>
      <c r="Z28" s="28">
        <v>185</v>
      </c>
      <c r="AA28" s="28">
        <v>370</v>
      </c>
      <c r="AB28" s="28">
        <v>1000</v>
      </c>
      <c r="AC28" s="28">
        <v>0</v>
      </c>
      <c r="AD28" s="28">
        <v>1</v>
      </c>
      <c r="AE28" s="28">
        <v>1</v>
      </c>
      <c r="AF28" s="28">
        <v>1</v>
      </c>
    </row>
    <row x14ac:dyDescent="0.25" r="29" customHeight="1" ht="16.5">
      <c r="A29" s="21"/>
      <c r="B29" s="21"/>
      <c r="C29" s="23"/>
      <c r="D29" s="73" t="s">
        <v>96</v>
      </c>
      <c r="E29" s="74"/>
      <c r="F29" s="21"/>
      <c r="G29" s="23">
        <v>29</v>
      </c>
      <c r="H29" s="24" t="s">
        <v>60</v>
      </c>
      <c r="I29" s="48">
        <v>2.86199</v>
      </c>
      <c r="J29" s="49">
        <v>0.01327</v>
      </c>
      <c r="K29" s="52">
        <v>7.21231</v>
      </c>
      <c r="L29" s="48">
        <v>1.17198</v>
      </c>
      <c r="M29" s="17">
        <f>LN(I29)</f>
      </c>
      <c r="N29" s="17">
        <f>LN(J29)</f>
      </c>
      <c r="O29" s="17">
        <f>LN(K29)</f>
      </c>
      <c r="P29" s="17">
        <f>LN(L29)</f>
      </c>
      <c r="Q29" s="29"/>
      <c r="R29" s="29"/>
      <c r="S29" s="29"/>
      <c r="T29" s="29"/>
      <c r="U29" s="31"/>
      <c r="V29" s="31"/>
      <c r="W29" s="31"/>
      <c r="X29" s="15" t="s">
        <v>60</v>
      </c>
      <c r="Y29" s="29"/>
      <c r="Z29" s="29"/>
      <c r="AA29" s="29"/>
      <c r="AB29" s="29"/>
      <c r="AC29" s="29"/>
      <c r="AD29" s="29"/>
      <c r="AE29" s="29"/>
      <c r="AF29" s="29"/>
    </row>
    <row x14ac:dyDescent="0.25" r="30" customHeight="1" ht="16.5" customFormat="1" s="1">
      <c r="A30" s="3"/>
      <c r="B30" s="3"/>
      <c r="C30" s="3"/>
      <c r="D30" s="75"/>
      <c r="E30" s="75"/>
      <c r="F30" s="3"/>
      <c r="G30" s="14"/>
      <c r="H30" s="15"/>
      <c r="I30" s="5"/>
      <c r="J30" s="4"/>
      <c r="K30" s="5"/>
      <c r="L30" s="4"/>
      <c r="M30" s="5"/>
      <c r="N30" s="4"/>
      <c r="O30" s="5"/>
      <c r="P30" s="4"/>
      <c r="Q30" s="7" t="s">
        <v>14</v>
      </c>
      <c r="R30" s="7" t="s">
        <v>15</v>
      </c>
      <c r="S30" s="7" t="s">
        <v>16</v>
      </c>
      <c r="T30" s="7" t="s">
        <v>17</v>
      </c>
      <c r="U30" s="6" t="s">
        <v>18</v>
      </c>
      <c r="V30" s="6" t="s">
        <v>19</v>
      </c>
      <c r="W30" s="6" t="s">
        <v>20</v>
      </c>
      <c r="X30" s="33" t="s">
        <v>61</v>
      </c>
      <c r="Y30" s="8" t="s">
        <v>21</v>
      </c>
      <c r="Z30" s="8" t="s">
        <v>22</v>
      </c>
      <c r="AA30" s="8" t="s">
        <v>23</v>
      </c>
      <c r="AB30" s="8" t="s">
        <v>24</v>
      </c>
      <c r="AC30" s="9" t="s">
        <v>25</v>
      </c>
      <c r="AD30" s="9" t="s">
        <v>26</v>
      </c>
      <c r="AE30" s="9" t="s">
        <v>27</v>
      </c>
      <c r="AF30" s="9" t="s">
        <v>28</v>
      </c>
    </row>
    <row x14ac:dyDescent="0.25" r="31" customHeight="1" ht="16.5" customFormat="1" s="1">
      <c r="A31" s="3"/>
      <c r="B31" s="3"/>
      <c r="C31" s="3"/>
      <c r="D31" s="75"/>
      <c r="E31" s="75"/>
      <c r="F31" s="3"/>
      <c r="G31" s="14"/>
      <c r="H31" s="15"/>
      <c r="I31" s="5"/>
      <c r="J31" s="4"/>
      <c r="K31" s="5"/>
      <c r="L31" s="4"/>
      <c r="M31" s="5"/>
      <c r="N31" s="4"/>
      <c r="O31" s="5"/>
      <c r="P31" s="4"/>
      <c r="Q31" s="2"/>
      <c r="R31" s="2"/>
      <c r="S31" s="2"/>
      <c r="T31" s="2"/>
      <c r="U31" s="4"/>
      <c r="V31" s="4"/>
      <c r="W31" s="4"/>
      <c r="X31" s="15"/>
      <c r="Y31" s="2"/>
      <c r="Z31" s="2"/>
      <c r="AA31" s="2"/>
      <c r="AB31" s="2"/>
      <c r="AC31" s="2"/>
      <c r="AD31" s="2"/>
      <c r="AE31" s="2"/>
      <c r="AF31" s="2"/>
    </row>
    <row x14ac:dyDescent="0.25" r="32" customHeight="1" ht="16.5">
      <c r="A32" s="21"/>
      <c r="B32" s="21"/>
      <c r="C32" s="21"/>
      <c r="D32" s="3"/>
      <c r="E32" s="3"/>
      <c r="F32" s="21"/>
      <c r="G32" s="2"/>
      <c r="H32" s="3"/>
      <c r="I32" s="30" t="s">
        <v>97</v>
      </c>
      <c r="J32" s="31" t="s">
        <v>98</v>
      </c>
      <c r="K32" s="30" t="s">
        <v>76</v>
      </c>
      <c r="L32" s="31" t="s">
        <v>77</v>
      </c>
      <c r="M32" s="30" t="s">
        <v>94</v>
      </c>
      <c r="N32" s="31" t="s">
        <v>79</v>
      </c>
      <c r="O32" s="30" t="s">
        <v>95</v>
      </c>
      <c r="P32" s="31" t="s">
        <v>81</v>
      </c>
      <c r="Q32" s="29"/>
      <c r="R32" s="29"/>
      <c r="S32" s="29"/>
      <c r="T32" s="29"/>
      <c r="U32" s="31"/>
      <c r="V32" s="31"/>
      <c r="W32" s="31"/>
      <c r="X32" s="3"/>
      <c r="Y32" s="29"/>
      <c r="Z32" s="29"/>
      <c r="AA32" s="29"/>
      <c r="AB32" s="29"/>
      <c r="AC32" s="29"/>
      <c r="AD32" s="29"/>
      <c r="AE32" s="29"/>
      <c r="AF32" s="29"/>
    </row>
    <row x14ac:dyDescent="0.25" r="33" customHeight="1" ht="16.5">
      <c r="A33" s="21"/>
      <c r="B33" s="21"/>
      <c r="C33" s="21"/>
      <c r="D33" s="3"/>
      <c r="E33" s="3"/>
      <c r="F33" s="21"/>
      <c r="G33" s="2"/>
      <c r="H33" s="3"/>
      <c r="I33" s="17">
        <v>0.6941366908331384</v>
      </c>
      <c r="J33" s="17">
        <v>1.3687030370894862</v>
      </c>
      <c r="K33" s="17">
        <v>0.2085252222905909</v>
      </c>
      <c r="L33" s="17">
        <v>-1.6961402462733934</v>
      </c>
      <c r="M33" s="17">
        <v>0.4185590076193223</v>
      </c>
      <c r="N33" s="17">
        <v>1.559890461595487</v>
      </c>
      <c r="O33" s="17">
        <v>0.2990225257457826</v>
      </c>
      <c r="P33" s="17">
        <v>1.02074803976262</v>
      </c>
      <c r="Q33" s="29"/>
      <c r="R33" s="29"/>
      <c r="S33" s="29"/>
      <c r="T33" s="29"/>
      <c r="U33" s="31"/>
      <c r="V33" s="31"/>
      <c r="W33" s="31"/>
      <c r="X33" s="3"/>
      <c r="Y33" s="29"/>
      <c r="Z33" s="29"/>
      <c r="AA33" s="29"/>
      <c r="AB33" s="29"/>
      <c r="AC33" s="29"/>
      <c r="AD33" s="29"/>
      <c r="AE33" s="29"/>
      <c r="AF33" s="29"/>
    </row>
    <row x14ac:dyDescent="0.25" r="34" customHeight="1" ht="16.5">
      <c r="A34" s="21"/>
      <c r="B34" s="21"/>
      <c r="C34" s="21"/>
      <c r="D34" s="3"/>
      <c r="E34" s="3"/>
      <c r="F34" s="21"/>
      <c r="G34" s="2"/>
      <c r="H34" s="3"/>
      <c r="I34" s="17">
        <v>1.2197083487119944</v>
      </c>
      <c r="J34" s="17">
        <v>0.9585184578907543</v>
      </c>
      <c r="K34" s="17">
        <v>-1.0151722814342723</v>
      </c>
      <c r="L34" s="17">
        <v>-1.186132886197605</v>
      </c>
      <c r="M34" s="17">
        <v>1.6234788751338565</v>
      </c>
      <c r="N34" s="17">
        <v>1.6253092930845159</v>
      </c>
      <c r="O34" s="17">
        <v>1.0626880029894554</v>
      </c>
      <c r="P34" s="17">
        <v>0.3879051641167501</v>
      </c>
      <c r="Q34" s="29"/>
      <c r="R34" s="29"/>
      <c r="S34" s="29"/>
      <c r="T34" s="29"/>
      <c r="U34" s="31"/>
      <c r="V34" s="31"/>
      <c r="W34" s="31"/>
      <c r="X34" s="3"/>
      <c r="Y34" s="29"/>
      <c r="Z34" s="29"/>
      <c r="AA34" s="29"/>
      <c r="AB34" s="29"/>
      <c r="AC34" s="29"/>
      <c r="AD34" s="29"/>
      <c r="AE34" s="29"/>
      <c r="AF34" s="29"/>
    </row>
    <row x14ac:dyDescent="0.25" r="35" customHeight="1" ht="16.5">
      <c r="A35" s="21"/>
      <c r="B35" s="21"/>
      <c r="C35" s="21"/>
      <c r="D35" s="3"/>
      <c r="E35" s="3"/>
      <c r="F35" s="21"/>
      <c r="G35" s="2"/>
      <c r="H35" s="3"/>
      <c r="I35" s="17">
        <v>0.8122493457822265</v>
      </c>
      <c r="J35" s="17">
        <v>1.1087573200378493</v>
      </c>
      <c r="K35" s="17">
        <v>0.4999628367512853</v>
      </c>
      <c r="L35" s="17">
        <v>-0.9564098484709826</v>
      </c>
      <c r="M35" s="17">
        <v>2.564076669087477</v>
      </c>
      <c r="N35" s="17">
        <v>1.442960570513769</v>
      </c>
      <c r="O35" s="17">
        <v>0.8626578607046599</v>
      </c>
      <c r="P35" s="17">
        <v>0.7673776452111549</v>
      </c>
      <c r="Q35" s="29"/>
      <c r="R35" s="29"/>
      <c r="S35" s="29"/>
      <c r="T35" s="29"/>
      <c r="U35" s="31"/>
      <c r="V35" s="31"/>
      <c r="W35" s="31"/>
      <c r="X35" s="3"/>
      <c r="Y35" s="29"/>
      <c r="Z35" s="29"/>
      <c r="AA35" s="29"/>
      <c r="AB35" s="29"/>
      <c r="AC35" s="29"/>
      <c r="AD35" s="29"/>
      <c r="AE35" s="29"/>
      <c r="AF35" s="29"/>
    </row>
    <row x14ac:dyDescent="0.25" r="36" customHeight="1" ht="16.5">
      <c r="A36" s="21"/>
      <c r="B36" s="21"/>
      <c r="C36" s="21"/>
      <c r="D36" s="3"/>
      <c r="E36" s="3"/>
      <c r="F36" s="21"/>
      <c r="G36" s="2"/>
      <c r="H36" s="3"/>
      <c r="I36" s="17">
        <v>0.6051899018008032</v>
      </c>
      <c r="J36" s="17">
        <v>1.1860857810881766</v>
      </c>
      <c r="K36" s="17">
        <v>-6.101279413115189</v>
      </c>
      <c r="L36" s="17">
        <v>-0.2749896300378202</v>
      </c>
      <c r="M36" s="17">
        <v>1.8425412995068016</v>
      </c>
      <c r="N36" s="17">
        <v>1.55665930498873</v>
      </c>
      <c r="O36" s="17">
        <v>1.3278969447390825</v>
      </c>
      <c r="P36" s="17">
        <v>0.8375591642806797</v>
      </c>
      <c r="Q36" s="29"/>
      <c r="R36" s="29"/>
      <c r="S36" s="29"/>
      <c r="T36" s="29"/>
      <c r="U36" s="31"/>
      <c r="V36" s="31"/>
      <c r="W36" s="31"/>
      <c r="X36" s="3"/>
      <c r="Y36" s="29"/>
      <c r="Z36" s="29"/>
      <c r="AA36" s="29"/>
      <c r="AB36" s="29"/>
      <c r="AC36" s="29"/>
      <c r="AD36" s="29"/>
      <c r="AE36" s="29"/>
      <c r="AF36" s="29"/>
    </row>
    <row x14ac:dyDescent="0.25" r="37" customHeight="1" ht="16.5">
      <c r="A37" s="21"/>
      <c r="B37" s="21"/>
      <c r="C37" s="21"/>
      <c r="D37" s="3"/>
      <c r="E37" s="3"/>
      <c r="F37" s="21"/>
      <c r="G37" s="2"/>
      <c r="H37" s="3"/>
      <c r="I37" s="17">
        <v>1.1468721535235533</v>
      </c>
      <c r="J37" s="17">
        <v>0.6888931449676529</v>
      </c>
      <c r="K37" s="17">
        <v>-1.085893516260335</v>
      </c>
      <c r="L37" s="17">
        <v>-3.2641347312738156</v>
      </c>
      <c r="M37" s="17">
        <v>0.6495505068418671</v>
      </c>
      <c r="N37" s="17">
        <v>0.7807779490204008</v>
      </c>
      <c r="O37" s="17">
        <v>0.6182512057059387</v>
      </c>
      <c r="P37" s="17">
        <v>0.007918565244295453</v>
      </c>
      <c r="Q37" s="29"/>
      <c r="R37" s="29"/>
      <c r="S37" s="29"/>
      <c r="T37" s="29"/>
      <c r="U37" s="31"/>
      <c r="V37" s="31"/>
      <c r="W37" s="31"/>
      <c r="X37" s="3"/>
      <c r="Y37" s="29"/>
      <c r="Z37" s="29"/>
      <c r="AA37" s="29"/>
      <c r="AB37" s="29"/>
      <c r="AC37" s="29"/>
      <c r="AD37" s="29"/>
      <c r="AE37" s="29"/>
      <c r="AF37" s="29"/>
    </row>
    <row x14ac:dyDescent="0.25" r="38" customHeight="1" ht="16.5">
      <c r="A38" s="21"/>
      <c r="B38" s="21"/>
      <c r="C38" s="21"/>
      <c r="D38" s="3"/>
      <c r="E38" s="3"/>
      <c r="F38" s="21"/>
      <c r="G38" s="2"/>
      <c r="H38" s="3"/>
      <c r="I38" s="17">
        <v>0.4009013767769027</v>
      </c>
      <c r="J38" s="17">
        <v>0.7148548548463559</v>
      </c>
      <c r="K38" s="17">
        <v>-1.6284678383409061</v>
      </c>
      <c r="L38" s="17">
        <v>-0.9651133965717235</v>
      </c>
      <c r="M38" s="17">
        <v>1.0075344730945883</v>
      </c>
      <c r="N38" s="17">
        <v>0.9933443613164464</v>
      </c>
      <c r="O38" s="17">
        <v>-0.01877515532633398</v>
      </c>
      <c r="P38" s="17">
        <v>-0.44965213299783796</v>
      </c>
      <c r="Q38" s="29"/>
      <c r="R38" s="29"/>
      <c r="S38" s="29"/>
      <c r="T38" s="29"/>
      <c r="U38" s="31"/>
      <c r="V38" s="31"/>
      <c r="W38" s="31"/>
      <c r="X38" s="3"/>
      <c r="Y38" s="29"/>
      <c r="Z38" s="29"/>
      <c r="AA38" s="29"/>
      <c r="AB38" s="29"/>
      <c r="AC38" s="29"/>
      <c r="AD38" s="29"/>
      <c r="AE38" s="29"/>
      <c r="AF38" s="29"/>
    </row>
    <row x14ac:dyDescent="0.25" r="39" customHeight="1" ht="16.5">
      <c r="A39" s="21"/>
      <c r="B39" s="21"/>
      <c r="C39" s="21"/>
      <c r="D39" s="3"/>
      <c r="E39" s="3"/>
      <c r="F39" s="21"/>
      <c r="G39" s="2"/>
      <c r="H39" s="3"/>
      <c r="I39" s="17">
        <v>1.0289942217872399</v>
      </c>
      <c r="J39" s="17">
        <v>1.370954809468359</v>
      </c>
      <c r="K39" s="17">
        <v>-1.9133848773519166</v>
      </c>
      <c r="L39" s="17">
        <v>-4.668109985761966</v>
      </c>
      <c r="M39" s="17">
        <v>1.4289921951525821</v>
      </c>
      <c r="N39" s="17">
        <v>0.5555676050888534</v>
      </c>
      <c r="O39" s="17">
        <v>0.6357087275126778</v>
      </c>
      <c r="P39" s="17">
        <v>0.20093884132601725</v>
      </c>
      <c r="Q39" s="29"/>
      <c r="R39" s="29"/>
      <c r="S39" s="29"/>
      <c r="T39" s="29"/>
      <c r="U39" s="31"/>
      <c r="V39" s="31"/>
      <c r="W39" s="31"/>
      <c r="X39" s="3"/>
      <c r="Y39" s="29"/>
      <c r="Z39" s="29"/>
      <c r="AA39" s="29"/>
      <c r="AB39" s="29"/>
      <c r="AC39" s="29"/>
      <c r="AD39" s="29"/>
      <c r="AE39" s="29"/>
      <c r="AF39" s="29"/>
    </row>
    <row x14ac:dyDescent="0.25" r="40" customHeight="1" ht="16.5">
      <c r="A40" s="21"/>
      <c r="B40" s="21"/>
      <c r="C40" s="21"/>
      <c r="D40" s="3"/>
      <c r="E40" s="3"/>
      <c r="F40" s="21"/>
      <c r="G40" s="2"/>
      <c r="H40" s="3"/>
      <c r="I40" s="17">
        <v>0.8392412068234406</v>
      </c>
      <c r="J40" s="17">
        <v>2.508689905949684</v>
      </c>
      <c r="K40" s="17">
        <v>-0.6976573360378313</v>
      </c>
      <c r="L40" s="17">
        <v>-1.472767701059235</v>
      </c>
      <c r="M40" s="17">
        <v>1.3941583586766768</v>
      </c>
      <c r="N40" s="17">
        <v>0.229189239258458</v>
      </c>
      <c r="O40" s="17">
        <v>0.27017979731563896</v>
      </c>
      <c r="P40" s="17">
        <v>0.048847305393983985</v>
      </c>
      <c r="Q40" s="29"/>
      <c r="R40" s="29"/>
      <c r="S40" s="29"/>
      <c r="T40" s="29"/>
      <c r="U40" s="31"/>
      <c r="V40" s="31"/>
      <c r="W40" s="31"/>
      <c r="X40" s="3"/>
      <c r="Y40" s="29"/>
      <c r="Z40" s="29"/>
      <c r="AA40" s="29"/>
      <c r="AB40" s="29"/>
      <c r="AC40" s="29"/>
      <c r="AD40" s="29"/>
      <c r="AE40" s="29"/>
      <c r="AF40" s="29"/>
    </row>
    <row x14ac:dyDescent="0.25" r="41" customHeight="1" ht="16.5">
      <c r="A41" s="21"/>
      <c r="B41" s="21"/>
      <c r="C41" s="21"/>
      <c r="D41" s="3"/>
      <c r="E41" s="3"/>
      <c r="F41" s="21"/>
      <c r="G41" s="2"/>
      <c r="H41" s="3"/>
      <c r="I41" s="17">
        <v>2.2562070672781074</v>
      </c>
      <c r="J41" s="17">
        <v>1.051517187068057</v>
      </c>
      <c r="K41" s="17">
        <v>-1.5683919429980993</v>
      </c>
      <c r="L41" s="17">
        <v>-4.322249430638021</v>
      </c>
      <c r="M41" s="17">
        <v>1.7753251627646303</v>
      </c>
      <c r="N41" s="17">
        <v>1.9757892883329848</v>
      </c>
      <c r="O41" s="17">
        <v>1.491804615566305</v>
      </c>
      <c r="P41" s="17">
        <v>0.15869462616279836</v>
      </c>
      <c r="Q41" s="29"/>
      <c r="R41" s="29"/>
      <c r="S41" s="29"/>
      <c r="T41" s="29"/>
      <c r="U41" s="31"/>
      <c r="V41" s="31"/>
      <c r="W41" s="31"/>
      <c r="X41" s="3"/>
      <c r="Y41" s="29"/>
      <c r="Z41" s="29"/>
      <c r="AA41" s="29"/>
      <c r="AB41" s="29"/>
      <c r="AC41" s="29"/>
      <c r="AD41" s="29"/>
      <c r="AE41" s="29"/>
      <c r="AF41" s="29"/>
    </row>
    <row x14ac:dyDescent="0.25" r="42" customHeight="1" ht="16.5">
      <c r="A42" s="21"/>
      <c r="B42" s="21"/>
      <c r="C42" s="21"/>
      <c r="D42" s="3"/>
      <c r="E42" s="3"/>
      <c r="F42" s="21"/>
      <c r="G42" s="2"/>
      <c r="H42" s="3"/>
      <c r="I42" s="17">
        <v>0.3623696980025788</v>
      </c>
      <c r="J42" s="31"/>
      <c r="K42" s="17">
        <v>-2.1039801661269903</v>
      </c>
      <c r="L42" s="31"/>
      <c r="M42" s="17">
        <v>1.3919185158701122</v>
      </c>
      <c r="N42" s="31"/>
      <c r="O42" s="17">
        <v>0.38602401545046067</v>
      </c>
      <c r="P42" s="31"/>
      <c r="Q42" s="29"/>
      <c r="R42" s="29"/>
      <c r="S42" s="29"/>
      <c r="T42" s="29"/>
      <c r="U42" s="31"/>
      <c r="V42" s="31"/>
      <c r="W42" s="31"/>
      <c r="X42" s="3"/>
      <c r="Y42" s="29"/>
      <c r="Z42" s="29"/>
      <c r="AA42" s="29"/>
      <c r="AB42" s="29"/>
      <c r="AC42" s="29"/>
      <c r="AD42" s="29"/>
      <c r="AE42" s="29"/>
      <c r="AF42" s="29"/>
    </row>
    <row x14ac:dyDescent="0.25" r="43" customHeight="1" ht="16.5">
      <c r="A43" s="21"/>
      <c r="B43" s="21"/>
      <c r="C43" s="21"/>
      <c r="D43" s="3"/>
      <c r="E43" s="3"/>
      <c r="F43" s="21"/>
      <c r="G43" s="2"/>
      <c r="H43" s="3"/>
      <c r="I43" s="17">
        <v>1.1375765586862505</v>
      </c>
      <c r="J43" s="31"/>
      <c r="K43" s="17">
        <v>-0.0580529314486171</v>
      </c>
      <c r="L43" s="31"/>
      <c r="M43" s="17">
        <v>1.4957786124800974</v>
      </c>
      <c r="N43" s="31"/>
      <c r="O43" s="17">
        <v>0.6490542172493213</v>
      </c>
      <c r="P43" s="31"/>
      <c r="Q43" s="29"/>
      <c r="R43" s="29"/>
      <c r="S43" s="29"/>
      <c r="T43" s="29"/>
      <c r="U43" s="31"/>
      <c r="V43" s="31"/>
      <c r="W43" s="31"/>
      <c r="X43" s="3"/>
      <c r="Y43" s="29"/>
      <c r="Z43" s="29"/>
      <c r="AA43" s="29"/>
      <c r="AB43" s="29"/>
      <c r="AC43" s="29"/>
      <c r="AD43" s="29"/>
      <c r="AE43" s="29"/>
      <c r="AF43" s="29"/>
    </row>
    <row x14ac:dyDescent="0.25" r="44" customHeight="1" ht="16.5">
      <c r="A44" s="21"/>
      <c r="B44" s="21"/>
      <c r="C44" s="21"/>
      <c r="D44" s="3"/>
      <c r="E44" s="3"/>
      <c r="F44" s="21"/>
      <c r="G44" s="2"/>
      <c r="H44" s="3"/>
      <c r="I44" s="17">
        <v>1.3864343513208053</v>
      </c>
      <c r="J44" s="31"/>
      <c r="K44" s="17">
        <v>-1.0585457794550264</v>
      </c>
      <c r="L44" s="31"/>
      <c r="M44" s="17">
        <v>1.701198162323012</v>
      </c>
      <c r="N44" s="31"/>
      <c r="O44" s="17">
        <v>1.0111317107118292</v>
      </c>
      <c r="P44" s="31"/>
      <c r="Q44" s="29"/>
      <c r="R44" s="29"/>
      <c r="S44" s="29"/>
      <c r="T44" s="29"/>
      <c r="U44" s="31"/>
      <c r="V44" s="31"/>
      <c r="W44" s="31"/>
      <c r="X44" s="3"/>
      <c r="Y44" s="29"/>
      <c r="Z44" s="29"/>
      <c r="AA44" s="29"/>
      <c r="AB44" s="29"/>
      <c r="AC44" s="29"/>
      <c r="AD44" s="29"/>
      <c r="AE44" s="29"/>
      <c r="AF44" s="29"/>
    </row>
    <row x14ac:dyDescent="0.25" r="45" customHeight="1" ht="16.5">
      <c r="A45" s="21"/>
      <c r="B45" s="21"/>
      <c r="C45" s="21"/>
      <c r="D45" s="3"/>
      <c r="E45" s="3"/>
      <c r="F45" s="21"/>
      <c r="G45" s="2"/>
      <c r="H45" s="3"/>
      <c r="I45" s="17">
        <v>0.9908674512915675</v>
      </c>
      <c r="J45" s="31"/>
      <c r="K45" s="17">
        <v>-0.6444903586135258</v>
      </c>
      <c r="L45" s="31"/>
      <c r="M45" s="17">
        <v>1.7164197130988263</v>
      </c>
      <c r="N45" s="31"/>
      <c r="O45" s="17">
        <v>0.44593504066187756</v>
      </c>
      <c r="P45" s="31"/>
      <c r="Q45" s="29"/>
      <c r="R45" s="29"/>
      <c r="S45" s="29"/>
      <c r="T45" s="29"/>
      <c r="U45" s="31"/>
      <c r="V45" s="31"/>
      <c r="W45" s="31"/>
      <c r="X45" s="3"/>
      <c r="Y45" s="29"/>
      <c r="Z45" s="29"/>
      <c r="AA45" s="29"/>
      <c r="AB45" s="29"/>
      <c r="AC45" s="29"/>
      <c r="AD45" s="29"/>
      <c r="AE45" s="29"/>
      <c r="AF45" s="29"/>
    </row>
    <row x14ac:dyDescent="0.25" r="46" customHeight="1" ht="16.5">
      <c r="A46" s="21"/>
      <c r="B46" s="21"/>
      <c r="C46" s="21"/>
      <c r="D46" s="3"/>
      <c r="E46" s="3"/>
      <c r="F46" s="21"/>
      <c r="G46" s="2"/>
      <c r="H46" s="3"/>
      <c r="I46" s="17">
        <v>1.3234344303608747</v>
      </c>
      <c r="J46" s="31"/>
      <c r="K46" s="17">
        <v>-1.1088141511527063</v>
      </c>
      <c r="L46" s="31"/>
      <c r="M46" s="17">
        <v>1.403620886187894</v>
      </c>
      <c r="N46" s="31"/>
      <c r="O46" s="17">
        <v>0.9481149273387537</v>
      </c>
      <c r="P46" s="31"/>
      <c r="Q46" s="29"/>
      <c r="R46" s="29"/>
      <c r="S46" s="29"/>
      <c r="T46" s="29"/>
      <c r="U46" s="31"/>
      <c r="V46" s="31"/>
      <c r="W46" s="31"/>
      <c r="X46" s="3"/>
      <c r="Y46" s="29"/>
      <c r="Z46" s="29"/>
      <c r="AA46" s="29"/>
      <c r="AB46" s="29"/>
      <c r="AC46" s="29"/>
      <c r="AD46" s="29"/>
      <c r="AE46" s="29"/>
      <c r="AF46" s="29"/>
    </row>
    <row x14ac:dyDescent="0.25" r="47" customHeight="1" ht="16.5">
      <c r="A47" s="21"/>
      <c r="B47" s="21"/>
      <c r="C47" s="21"/>
      <c r="D47" s="3"/>
      <c r="E47" s="3"/>
      <c r="F47" s="21"/>
      <c r="G47" s="2"/>
      <c r="H47" s="3"/>
      <c r="I47" s="17">
        <v>1.5595688664809608</v>
      </c>
      <c r="J47" s="31"/>
      <c r="K47" s="17">
        <v>-0.5396710138798272</v>
      </c>
      <c r="L47" s="31"/>
      <c r="M47" s="17">
        <v>1.050615309843994</v>
      </c>
      <c r="N47" s="31"/>
      <c r="O47" s="17">
        <v>0.6552635730823125</v>
      </c>
      <c r="P47" s="31"/>
      <c r="Q47" s="29"/>
      <c r="R47" s="29"/>
      <c r="S47" s="29"/>
      <c r="T47" s="29"/>
      <c r="U47" s="31"/>
      <c r="V47" s="31"/>
      <c r="W47" s="31"/>
      <c r="X47" s="3"/>
      <c r="Y47" s="29"/>
      <c r="Z47" s="29"/>
      <c r="AA47" s="29"/>
      <c r="AB47" s="29"/>
      <c r="AC47" s="29"/>
      <c r="AD47" s="29"/>
      <c r="AE47" s="29"/>
      <c r="AF47" s="29"/>
    </row>
    <row x14ac:dyDescent="0.25" r="48" customHeight="1" ht="16.5">
      <c r="A48" s="21"/>
      <c r="B48" s="21"/>
      <c r="C48" s="21"/>
      <c r="D48" s="3"/>
      <c r="E48" s="3"/>
      <c r="F48" s="21"/>
      <c r="G48" s="2"/>
      <c r="H48" s="3"/>
      <c r="I48" s="17">
        <v>0.47796559847886444</v>
      </c>
      <c r="J48" s="31"/>
      <c r="K48" s="17">
        <v>-1.4056402927174283</v>
      </c>
      <c r="L48" s="31"/>
      <c r="M48" s="17">
        <v>2.679172560150964</v>
      </c>
      <c r="N48" s="31"/>
      <c r="O48" s="17">
        <v>0.5200251778072611</v>
      </c>
      <c r="P48" s="31"/>
      <c r="Q48" s="29"/>
      <c r="R48" s="29"/>
      <c r="S48" s="29"/>
      <c r="T48" s="29"/>
      <c r="U48" s="31"/>
      <c r="V48" s="31"/>
      <c r="W48" s="31"/>
      <c r="X48" s="3"/>
      <c r="Y48" s="29"/>
      <c r="Z48" s="29"/>
      <c r="AA48" s="29"/>
      <c r="AB48" s="29"/>
      <c r="AC48" s="29"/>
      <c r="AD48" s="29"/>
      <c r="AE48" s="29"/>
      <c r="AF48" s="29"/>
    </row>
    <row x14ac:dyDescent="0.25" r="49" customHeight="1" ht="16.5">
      <c r="A49" s="21"/>
      <c r="B49" s="21"/>
      <c r="C49" s="21"/>
      <c r="D49" s="3"/>
      <c r="E49" s="3"/>
      <c r="F49" s="21"/>
      <c r="G49" s="2"/>
      <c r="H49" s="3"/>
      <c r="I49" s="17">
        <v>1.0658101324357292</v>
      </c>
      <c r="J49" s="31"/>
      <c r="K49" s="17">
        <v>-0.24412462270295254</v>
      </c>
      <c r="L49" s="31"/>
      <c r="M49" s="17">
        <v>1.951167732282332</v>
      </c>
      <c r="N49" s="31"/>
      <c r="O49" s="17">
        <v>0.01502653401662283</v>
      </c>
      <c r="P49" s="31"/>
      <c r="Q49" s="29"/>
      <c r="R49" s="29"/>
      <c r="S49" s="29"/>
      <c r="T49" s="29"/>
      <c r="U49" s="31"/>
      <c r="V49" s="31"/>
      <c r="W49" s="31"/>
      <c r="X49" s="3"/>
      <c r="Y49" s="29"/>
      <c r="Z49" s="29"/>
      <c r="AA49" s="29"/>
      <c r="AB49" s="29"/>
      <c r="AC49" s="29"/>
      <c r="AD49" s="29"/>
      <c r="AE49" s="29"/>
      <c r="AF49" s="29"/>
    </row>
    <row x14ac:dyDescent="0.25" r="50" customHeight="1" ht="16.5">
      <c r="A50" s="21"/>
      <c r="B50" s="21"/>
      <c r="C50" s="21"/>
      <c r="D50" s="3"/>
      <c r="E50" s="3"/>
      <c r="F50" s="21"/>
      <c r="G50" s="2"/>
      <c r="H50" s="3"/>
      <c r="I50" s="17">
        <v>0.4528765444913154</v>
      </c>
      <c r="J50" s="31"/>
      <c r="K50" s="17">
        <v>-1.0356938291219366</v>
      </c>
      <c r="L50" s="31"/>
      <c r="M50" s="17">
        <v>1.0693242164425538</v>
      </c>
      <c r="N50" s="31"/>
      <c r="O50" s="17">
        <v>-0.23973035491860872</v>
      </c>
      <c r="P50" s="31"/>
      <c r="Q50" s="29"/>
      <c r="R50" s="29"/>
      <c r="S50" s="29"/>
      <c r="T50" s="29"/>
      <c r="U50" s="31"/>
      <c r="V50" s="31"/>
      <c r="W50" s="31"/>
      <c r="X50" s="3"/>
      <c r="Y50" s="29"/>
      <c r="Z50" s="29"/>
      <c r="AA50" s="29"/>
      <c r="AB50" s="29"/>
      <c r="AC50" s="29"/>
      <c r="AD50" s="29"/>
      <c r="AE50" s="29"/>
      <c r="AF50" s="29"/>
    </row>
    <row x14ac:dyDescent="0.25" r="51" customHeight="1" ht="16.5">
      <c r="A51" s="21"/>
      <c r="B51" s="21"/>
      <c r="C51" s="21"/>
      <c r="D51" s="3"/>
      <c r="E51" s="3"/>
      <c r="F51" s="21"/>
      <c r="G51" s="2"/>
      <c r="H51" s="3"/>
      <c r="I51" s="17">
        <v>1.2722742368240352</v>
      </c>
      <c r="J51" s="31"/>
      <c r="K51" s="17">
        <v>-0.7861400474091099</v>
      </c>
      <c r="L51" s="31"/>
      <c r="M51" s="17">
        <v>0.8607949351201066</v>
      </c>
      <c r="N51" s="31"/>
      <c r="O51" s="17">
        <v>1.3460503245497584</v>
      </c>
      <c r="P51" s="31"/>
      <c r="Q51" s="29"/>
      <c r="R51" s="29"/>
      <c r="S51" s="29"/>
      <c r="T51" s="29"/>
      <c r="U51" s="31"/>
      <c r="V51" s="31"/>
      <c r="W51" s="31"/>
      <c r="X51" s="3"/>
      <c r="Y51" s="29"/>
      <c r="Z51" s="29"/>
      <c r="AA51" s="29"/>
      <c r="AB51" s="29"/>
      <c r="AC51" s="29"/>
      <c r="AD51" s="29"/>
      <c r="AE51" s="29"/>
      <c r="AF51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T70"/>
  <sheetViews>
    <sheetView workbookViewId="0"/>
  </sheetViews>
  <sheetFormatPr defaultRowHeight="15" x14ac:dyDescent="0.25"/>
  <cols>
    <col min="1" max="1" style="40" width="11.862142857142858" customWidth="1" bestFit="1"/>
    <col min="2" max="2" style="40" width="11.862142857142858" customWidth="1" bestFit="1"/>
    <col min="3" max="3" style="40" width="11.862142857142858" customWidth="1" bestFit="1"/>
    <col min="4" max="4" style="40" width="11.862142857142858" customWidth="1" bestFit="1"/>
    <col min="5" max="5" style="40" width="11.862142857142858" customWidth="1" bestFit="1"/>
    <col min="6" max="6" style="40" width="11.862142857142858" customWidth="1" bestFit="1"/>
    <col min="7" max="7" style="40" width="11.862142857142858" customWidth="1" bestFit="1"/>
    <col min="8" max="8" style="37" width="13.005" customWidth="1" bestFit="1"/>
    <col min="9" max="9" style="37" width="14.43357142857143" customWidth="1" bestFit="1"/>
    <col min="10" max="10" style="37" width="20.719285714285714" customWidth="1" bestFit="1"/>
    <col min="11" max="11" style="37" width="15.862142857142858" customWidth="1" bestFit="1"/>
    <col min="12" max="12" style="69" width="11.862142857142858" customWidth="1" bestFit="1"/>
    <col min="13" max="13" style="37" width="16.576428571428572" customWidth="1" bestFit="1"/>
    <col min="14" max="14" style="37" width="11.862142857142858" customWidth="1" bestFit="1"/>
    <col min="15" max="15" style="37" width="10.719285714285713" customWidth="1" bestFit="1"/>
    <col min="16" max="16" style="37" width="16.433571428571426" customWidth="1" bestFit="1"/>
    <col min="17" max="17" style="39" width="11.862142857142858" customWidth="1" bestFit="1"/>
    <col min="18" max="18" style="39" width="11.862142857142858" customWidth="1" bestFit="1"/>
    <col min="19" max="19" style="39" width="11.862142857142858" customWidth="1" bestFit="1"/>
    <col min="20" max="20" style="39" width="11.862142857142858" customWidth="1" bestFit="1"/>
    <col min="21" max="21" style="39" width="11.862142857142858" customWidth="1" bestFit="1"/>
    <col min="22" max="22" style="37" width="11.862142857142858" customWidth="1" bestFit="1"/>
    <col min="23" max="23" style="37" width="11.862142857142858" customWidth="1" bestFit="1"/>
    <col min="24" max="24" style="37" width="11.862142857142858" customWidth="1" bestFit="1"/>
    <col min="25" max="25" style="37" width="11.862142857142858" customWidth="1" bestFit="1"/>
    <col min="26" max="26" style="37" width="11.862142857142858" customWidth="1" bestFit="1"/>
    <col min="27" max="27" style="37" width="11.862142857142858" customWidth="1" bestFit="1"/>
    <col min="28" max="28" style="37" width="11.862142857142858" customWidth="1" bestFit="1"/>
    <col min="29" max="29" style="39" width="11.862142857142858" customWidth="1" bestFit="1"/>
    <col min="30" max="30" style="39" width="11.862142857142858" customWidth="1" bestFit="1"/>
    <col min="31" max="31" style="39" width="11.862142857142858" customWidth="1" bestFit="1"/>
    <col min="32" max="32" style="39" width="11.862142857142858" customWidth="1" bestFit="1"/>
    <col min="33" max="33" style="39" width="11.862142857142858" customWidth="1" bestFit="1"/>
    <col min="34" max="34" style="39" width="11.862142857142858" customWidth="1" bestFit="1"/>
    <col min="35" max="35" style="39" width="11.862142857142858" customWidth="1" bestFit="1"/>
    <col min="36" max="36" style="39" width="11.862142857142858" customWidth="1" bestFit="1"/>
    <col min="37" max="37" style="39" width="11.862142857142858" customWidth="1" bestFit="1"/>
    <col min="38" max="38" style="39" width="11.862142857142858" customWidth="1" bestFit="1"/>
    <col min="39" max="39" style="39" width="11.862142857142858" customWidth="1" bestFit="1"/>
    <col min="40" max="40" style="39" width="11.862142857142858" customWidth="1" bestFit="1"/>
    <col min="41" max="41" style="39" width="11.862142857142858" customWidth="1" bestFit="1"/>
    <col min="42" max="42" style="37" width="11.862142857142858" customWidth="1" bestFit="1"/>
    <col min="43" max="43" style="39" width="11.862142857142858" customWidth="1" bestFit="1"/>
    <col min="44" max="44" style="39" width="11.862142857142858" customWidth="1" bestFit="1"/>
    <col min="45" max="45" style="35" width="13.005" customWidth="1" bestFit="1"/>
    <col min="46" max="46" style="40" width="11.862142857142858" customWidth="1" bestFit="1"/>
  </cols>
  <sheetData>
    <row x14ac:dyDescent="0.25" r="1" customHeight="1" ht="39.75" customFormat="1" s="1">
      <c r="A1" s="3"/>
      <c r="B1" s="3"/>
      <c r="C1" s="3"/>
      <c r="D1" s="3"/>
      <c r="E1" s="3"/>
      <c r="F1" s="3"/>
      <c r="G1" s="3"/>
      <c r="H1" s="4"/>
      <c r="I1" s="4" t="s">
        <v>6</v>
      </c>
      <c r="J1" s="4" t="s">
        <v>7</v>
      </c>
      <c r="K1" s="4" t="s">
        <v>8</v>
      </c>
      <c r="L1" s="41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7" t="s">
        <v>14</v>
      </c>
      <c r="R1" s="7" t="s">
        <v>15</v>
      </c>
      <c r="S1" s="7" t="s">
        <v>16</v>
      </c>
      <c r="T1" s="7" t="s">
        <v>83</v>
      </c>
      <c r="U1" s="7" t="s">
        <v>84</v>
      </c>
      <c r="V1" s="6" t="s">
        <v>19</v>
      </c>
      <c r="W1" s="6" t="s">
        <v>20</v>
      </c>
      <c r="X1" s="59" t="s">
        <v>85</v>
      </c>
      <c r="Y1" s="59" t="s">
        <v>86</v>
      </c>
      <c r="Z1" s="59" t="s">
        <v>87</v>
      </c>
      <c r="AA1" s="59" t="s">
        <v>88</v>
      </c>
      <c r="AB1" s="59" t="s">
        <v>89</v>
      </c>
      <c r="AC1" s="8" t="s">
        <v>21</v>
      </c>
      <c r="AD1" s="8" t="s">
        <v>22</v>
      </c>
      <c r="AE1" s="8" t="s">
        <v>90</v>
      </c>
      <c r="AF1" s="8" t="s">
        <v>23</v>
      </c>
      <c r="AG1" s="8" t="s">
        <v>91</v>
      </c>
      <c r="AH1" s="8" t="s">
        <v>24</v>
      </c>
      <c r="AI1" s="9" t="s">
        <v>25</v>
      </c>
      <c r="AJ1" s="9" t="s">
        <v>26</v>
      </c>
      <c r="AK1" s="9" t="s">
        <v>92</v>
      </c>
      <c r="AL1" s="9" t="s">
        <v>27</v>
      </c>
      <c r="AM1" s="9" t="s">
        <v>93</v>
      </c>
      <c r="AN1" s="9" t="s">
        <v>28</v>
      </c>
      <c r="AO1" s="9" t="s">
        <v>29</v>
      </c>
      <c r="AP1" s="60" t="s">
        <v>30</v>
      </c>
      <c r="AQ1" s="61" t="s">
        <v>31</v>
      </c>
      <c r="AR1" s="62" t="s">
        <v>32</v>
      </c>
      <c r="AS1" s="3"/>
      <c r="AT1" s="3"/>
    </row>
    <row x14ac:dyDescent="0.25" r="2" customHeight="1" ht="19.5">
      <c r="A2" s="21"/>
      <c r="B2" s="21"/>
      <c r="C2" s="21"/>
      <c r="D2" s="21"/>
      <c r="E2" s="21"/>
      <c r="F2" s="21"/>
      <c r="G2" s="21"/>
      <c r="H2" s="47" t="s">
        <v>33</v>
      </c>
      <c r="I2" s="45">
        <v>0.37524</v>
      </c>
      <c r="J2" s="45">
        <v>0.33512</v>
      </c>
      <c r="K2" s="45">
        <v>0.84943</v>
      </c>
      <c r="L2" s="45">
        <v>0.48432</v>
      </c>
      <c r="M2" s="17">
        <f>LN(I2)</f>
      </c>
      <c r="N2" s="17">
        <f>LN(J2)</f>
      </c>
      <c r="O2" s="17">
        <f>LN(K2)</f>
      </c>
      <c r="P2" s="17">
        <f>LN(L2)</f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63">
        <v>57</v>
      </c>
      <c r="Y2" s="63">
        <v>3</v>
      </c>
      <c r="Z2" s="63">
        <v>0.82</v>
      </c>
      <c r="AA2" s="63">
        <v>0.04</v>
      </c>
      <c r="AB2" s="63">
        <v>56</v>
      </c>
      <c r="AC2" s="18">
        <f>(243+518)/2</f>
      </c>
      <c r="AD2" s="18">
        <f>(2657+179+219)/7</f>
      </c>
      <c r="AE2" s="18">
        <v>0</v>
      </c>
      <c r="AF2" s="18">
        <f>(463+288+337+238+390+446)/6</f>
      </c>
      <c r="AG2" s="18">
        <v>0</v>
      </c>
      <c r="AH2" s="18">
        <f>1254/2</f>
      </c>
      <c r="AI2" s="19">
        <v>1</v>
      </c>
      <c r="AJ2" s="19">
        <v>0</v>
      </c>
      <c r="AK2" s="19">
        <v>1</v>
      </c>
      <c r="AL2" s="19">
        <v>1</v>
      </c>
      <c r="AM2" s="19">
        <v>0</v>
      </c>
      <c r="AN2" s="19">
        <v>1</v>
      </c>
      <c r="AO2" s="19">
        <v>1</v>
      </c>
      <c r="AP2" s="27">
        <v>57.26</v>
      </c>
      <c r="AQ2" s="19">
        <v>1</v>
      </c>
      <c r="AR2" s="19">
        <v>464</v>
      </c>
      <c r="AS2" s="15" t="s">
        <v>33</v>
      </c>
      <c r="AT2" s="21"/>
    </row>
    <row x14ac:dyDescent="0.25" r="3" customHeight="1" ht="18.75">
      <c r="A3" s="21"/>
      <c r="B3" s="21"/>
      <c r="C3" s="21"/>
      <c r="D3" s="21"/>
      <c r="E3" s="21"/>
      <c r="F3" s="21"/>
      <c r="G3" s="21"/>
      <c r="H3" s="47" t="s">
        <v>34</v>
      </c>
      <c r="I3" s="45">
        <v>0.98759</v>
      </c>
      <c r="J3" s="45">
        <v>0.32637</v>
      </c>
      <c r="K3" s="46">
        <v>4.44771</v>
      </c>
      <c r="L3" s="45">
        <v>0.26437</v>
      </c>
      <c r="M3" s="17">
        <f>LN(I3)</f>
      </c>
      <c r="N3" s="17">
        <f>LN(J3)</f>
      </c>
      <c r="O3" s="17">
        <f>LN(K3)</f>
      </c>
      <c r="P3" s="17">
        <f>LN(L3)</f>
      </c>
      <c r="Q3" s="17">
        <v>11</v>
      </c>
      <c r="R3" s="17">
        <v>8</v>
      </c>
      <c r="S3" s="17">
        <v>4</v>
      </c>
      <c r="T3" s="17">
        <v>2</v>
      </c>
      <c r="U3" s="17">
        <v>137.6</v>
      </c>
      <c r="V3" s="17">
        <v>53.8</v>
      </c>
      <c r="W3" s="17">
        <v>53.8</v>
      </c>
      <c r="X3" s="63">
        <v>57</v>
      </c>
      <c r="Y3" s="63">
        <v>3</v>
      </c>
      <c r="Z3" s="63">
        <v>0.82</v>
      </c>
      <c r="AA3" s="63">
        <v>0.04</v>
      </c>
      <c r="AB3" s="63">
        <v>56</v>
      </c>
      <c r="AC3" s="18">
        <v>1000</v>
      </c>
      <c r="AD3" s="18">
        <f>(807+559+954+758+649+689+617)/7</f>
      </c>
      <c r="AE3" s="18">
        <f>384/2</f>
      </c>
      <c r="AF3" s="18">
        <v>0</v>
      </c>
      <c r="AG3" s="18">
        <f>2423/3</f>
      </c>
      <c r="AH3" s="18">
        <f>1423/2</f>
      </c>
      <c r="AI3" s="19">
        <v>2</v>
      </c>
      <c r="AJ3" s="19">
        <v>2</v>
      </c>
      <c r="AK3" s="19">
        <v>2</v>
      </c>
      <c r="AL3" s="19">
        <v>0</v>
      </c>
      <c r="AM3" s="19">
        <v>1</v>
      </c>
      <c r="AN3" s="19">
        <v>1</v>
      </c>
      <c r="AO3" s="19">
        <v>1</v>
      </c>
      <c r="AP3" s="27">
        <v>1200.37</v>
      </c>
      <c r="AQ3" s="19">
        <v>1</v>
      </c>
      <c r="AR3" s="19">
        <v>1000</v>
      </c>
      <c r="AS3" s="15" t="s">
        <v>34</v>
      </c>
      <c r="AT3" s="21"/>
    </row>
    <row x14ac:dyDescent="0.25" r="4" customHeight="1" ht="18.75">
      <c r="A4" s="21"/>
      <c r="B4" s="21"/>
      <c r="C4" s="21"/>
      <c r="D4" s="21"/>
      <c r="E4" s="21"/>
      <c r="F4" s="21"/>
      <c r="G4" s="21"/>
      <c r="H4" s="47" t="s">
        <v>35</v>
      </c>
      <c r="I4" s="48">
        <v>0.61695</v>
      </c>
      <c r="J4" s="48">
        <v>0.72816</v>
      </c>
      <c r="K4" s="48">
        <v>1.56415</v>
      </c>
      <c r="L4" s="48">
        <v>0.6164</v>
      </c>
      <c r="M4" s="17">
        <f>LN(I4)</f>
      </c>
      <c r="N4" s="17">
        <f>LN(J4)</f>
      </c>
      <c r="O4" s="17">
        <f>LN(K4)</f>
      </c>
      <c r="P4" s="17">
        <f>LN(L4)</f>
      </c>
      <c r="Q4" s="17">
        <v>11</v>
      </c>
      <c r="R4" s="17">
        <v>3</v>
      </c>
      <c r="S4" s="17">
        <v>2</v>
      </c>
      <c r="T4" s="17">
        <v>1</v>
      </c>
      <c r="U4" s="17">
        <v>133.4</v>
      </c>
      <c r="V4" s="17">
        <v>53.7</v>
      </c>
      <c r="W4" s="17">
        <v>53.7</v>
      </c>
      <c r="X4" s="63">
        <v>26</v>
      </c>
      <c r="Y4" s="63">
        <v>10</v>
      </c>
      <c r="Z4" s="63">
        <v>0.41</v>
      </c>
      <c r="AA4" s="63">
        <v>0.16</v>
      </c>
      <c r="AB4" s="63">
        <v>80</v>
      </c>
      <c r="AC4" s="18">
        <v>0</v>
      </c>
      <c r="AD4" s="18">
        <f>(347+435+604+345+401+460)/7</f>
      </c>
      <c r="AE4" s="18">
        <f>115/2</f>
      </c>
      <c r="AF4" s="18">
        <v>0</v>
      </c>
      <c r="AG4" s="18">
        <v>0</v>
      </c>
      <c r="AH4" s="18">
        <f>1847/2</f>
      </c>
      <c r="AI4" s="19">
        <v>0</v>
      </c>
      <c r="AJ4" s="19">
        <v>1</v>
      </c>
      <c r="AK4" s="19">
        <v>1</v>
      </c>
      <c r="AL4" s="19">
        <v>0</v>
      </c>
      <c r="AM4" s="19">
        <v>0</v>
      </c>
      <c r="AN4" s="19">
        <v>2</v>
      </c>
      <c r="AO4" s="19">
        <v>1</v>
      </c>
      <c r="AP4" s="27">
        <v>122.27</v>
      </c>
      <c r="AQ4" s="19">
        <v>1</v>
      </c>
      <c r="AR4" s="19">
        <v>500</v>
      </c>
      <c r="AS4" s="15" t="s">
        <v>35</v>
      </c>
      <c r="AT4" s="21"/>
    </row>
    <row x14ac:dyDescent="0.25" r="5" customHeight="1" ht="18.75">
      <c r="A5" s="21"/>
      <c r="B5" s="21"/>
      <c r="C5" s="21"/>
      <c r="D5" s="21"/>
      <c r="E5" s="21"/>
      <c r="F5" s="21"/>
      <c r="G5" s="21"/>
      <c r="H5" s="47" t="s">
        <v>36</v>
      </c>
      <c r="I5" s="48">
        <v>1.38032</v>
      </c>
      <c r="J5" s="49">
        <v>0.0013</v>
      </c>
      <c r="K5" s="48">
        <v>2.43023</v>
      </c>
      <c r="L5" s="48">
        <v>0.29574</v>
      </c>
      <c r="M5" s="17">
        <f>LN(I5)</f>
      </c>
      <c r="N5" s="17">
        <f>LN(J5)</f>
      </c>
      <c r="O5" s="17">
        <f>LN(K5)</f>
      </c>
      <c r="P5" s="17">
        <f>LN(L5)</f>
      </c>
      <c r="Q5" s="17">
        <v>12</v>
      </c>
      <c r="R5" s="17">
        <v>3</v>
      </c>
      <c r="S5" s="17">
        <v>1</v>
      </c>
      <c r="T5" s="17">
        <v>1</v>
      </c>
      <c r="U5" s="17">
        <f>185/5</f>
      </c>
      <c r="V5" s="17">
        <v>45.4</v>
      </c>
      <c r="W5" s="17">
        <v>41.6</v>
      </c>
      <c r="X5" s="63">
        <v>26</v>
      </c>
      <c r="Y5" s="63">
        <v>10</v>
      </c>
      <c r="Z5" s="63">
        <v>0.41</v>
      </c>
      <c r="AA5" s="63">
        <v>0.16</v>
      </c>
      <c r="AB5" s="63">
        <v>80</v>
      </c>
      <c r="AC5" s="64">
        <v>0</v>
      </c>
      <c r="AD5" s="18">
        <f>(376+411+576+438+414+370)/7</f>
      </c>
      <c r="AE5" s="18">
        <f>1333/2</f>
      </c>
      <c r="AF5" s="18">
        <v>0</v>
      </c>
      <c r="AG5" s="18">
        <v>80</v>
      </c>
      <c r="AH5" s="18">
        <f>1791/2</f>
      </c>
      <c r="AI5" s="19">
        <v>0</v>
      </c>
      <c r="AJ5" s="19">
        <v>2</v>
      </c>
      <c r="AK5" s="19">
        <v>3</v>
      </c>
      <c r="AL5" s="19">
        <v>2</v>
      </c>
      <c r="AM5" s="19">
        <v>2</v>
      </c>
      <c r="AN5" s="19">
        <v>3</v>
      </c>
      <c r="AO5" s="19">
        <v>1</v>
      </c>
      <c r="AP5" s="19">
        <v>493</v>
      </c>
      <c r="AQ5" s="19">
        <v>3</v>
      </c>
      <c r="AR5" s="19">
        <v>1000</v>
      </c>
      <c r="AS5" s="15" t="s">
        <v>36</v>
      </c>
      <c r="AT5" s="21"/>
    </row>
    <row x14ac:dyDescent="0.25" r="6" customHeight="1" ht="18.75">
      <c r="A6" s="21"/>
      <c r="B6" s="21"/>
      <c r="C6" s="21"/>
      <c r="D6" s="21"/>
      <c r="E6" s="21"/>
      <c r="F6" s="21"/>
      <c r="G6" s="21"/>
      <c r="H6" s="47" t="s">
        <v>37</v>
      </c>
      <c r="I6" s="48">
        <v>0.38795</v>
      </c>
      <c r="J6" s="48">
        <v>0.35117</v>
      </c>
      <c r="K6" s="48">
        <v>1.67986</v>
      </c>
      <c r="L6" s="48">
        <v>0.48864</v>
      </c>
      <c r="M6" s="17">
        <f>LN(I6)</f>
      </c>
      <c r="N6" s="17">
        <f>LN(J6)</f>
      </c>
      <c r="O6" s="17">
        <f>LN(K6)</f>
      </c>
      <c r="P6" s="17">
        <f>LN(L6)</f>
      </c>
      <c r="Q6" s="17">
        <v>2</v>
      </c>
      <c r="R6" s="17">
        <v>3</v>
      </c>
      <c r="S6" s="17">
        <v>0</v>
      </c>
      <c r="T6" s="17">
        <v>1</v>
      </c>
      <c r="U6" s="17">
        <v>51</v>
      </c>
      <c r="V6" s="17">
        <v>55.8</v>
      </c>
      <c r="W6" s="17">
        <v>0</v>
      </c>
      <c r="X6" s="63">
        <v>26</v>
      </c>
      <c r="Y6" s="63">
        <v>10</v>
      </c>
      <c r="Z6" s="63">
        <v>0.41</v>
      </c>
      <c r="AA6" s="63">
        <v>0.16</v>
      </c>
      <c r="AB6" s="63">
        <v>80</v>
      </c>
      <c r="AC6" s="18">
        <v>94.5</v>
      </c>
      <c r="AD6" s="18">
        <f>(210+251+177+199)/7</f>
      </c>
      <c r="AE6" s="18">
        <f>(371+117)/2</f>
      </c>
      <c r="AF6" s="18">
        <f>(129+143)/6</f>
      </c>
      <c r="AG6" s="18">
        <v>0</v>
      </c>
      <c r="AH6" s="18">
        <v>650</v>
      </c>
      <c r="AI6" s="19">
        <v>1</v>
      </c>
      <c r="AJ6" s="19">
        <v>1</v>
      </c>
      <c r="AK6" s="19">
        <v>1</v>
      </c>
      <c r="AL6" s="19">
        <v>0</v>
      </c>
      <c r="AM6" s="19">
        <v>0</v>
      </c>
      <c r="AN6" s="19">
        <v>2</v>
      </c>
      <c r="AO6" s="19">
        <v>2</v>
      </c>
      <c r="AP6" s="27">
        <v>609.86</v>
      </c>
      <c r="AQ6" s="19">
        <v>2</v>
      </c>
      <c r="AR6" s="19">
        <v>781</v>
      </c>
      <c r="AS6" s="15" t="s">
        <v>37</v>
      </c>
      <c r="AT6" s="21"/>
    </row>
    <row x14ac:dyDescent="0.25" r="7" customHeight="1" ht="18.75">
      <c r="A7" s="21"/>
      <c r="B7" s="21"/>
      <c r="C7" s="21"/>
      <c r="D7" s="21"/>
      <c r="E7" s="21"/>
      <c r="F7" s="21"/>
      <c r="G7" s="21"/>
      <c r="H7" s="47" t="s">
        <v>38</v>
      </c>
      <c r="I7" s="49">
        <v>0.18389</v>
      </c>
      <c r="J7" s="49">
        <v>0.15011</v>
      </c>
      <c r="K7" s="48">
        <v>3.63318</v>
      </c>
      <c r="L7" s="49">
        <v>0.17028</v>
      </c>
      <c r="M7" s="17">
        <f>LN(I7)</f>
      </c>
      <c r="N7" s="17">
        <f>LN(J7)</f>
      </c>
      <c r="O7" s="17">
        <f>LN(K7)</f>
      </c>
      <c r="P7" s="17">
        <f>LN(L7)</f>
      </c>
      <c r="Q7" s="17">
        <v>3</v>
      </c>
      <c r="R7" s="17">
        <v>1</v>
      </c>
      <c r="S7" s="17">
        <v>0</v>
      </c>
      <c r="T7" s="17">
        <v>1</v>
      </c>
      <c r="U7" s="17">
        <v>101</v>
      </c>
      <c r="V7" s="17">
        <v>46.3</v>
      </c>
      <c r="W7" s="17">
        <v>0</v>
      </c>
      <c r="X7" s="63">
        <v>26</v>
      </c>
      <c r="Y7" s="63">
        <v>10</v>
      </c>
      <c r="Z7" s="63">
        <v>0.41</v>
      </c>
      <c r="AA7" s="63">
        <v>0.16</v>
      </c>
      <c r="AB7" s="63">
        <v>80</v>
      </c>
      <c r="AC7" s="18">
        <f>(465+862)/2</f>
      </c>
      <c r="AD7" s="18">
        <f>(277+599+538+669+379+286)/7</f>
      </c>
      <c r="AE7" s="18">
        <f>212/2</f>
      </c>
      <c r="AF7" s="18">
        <v>0</v>
      </c>
      <c r="AG7" s="18">
        <f>2659/3</f>
      </c>
      <c r="AH7" s="18">
        <v>500</v>
      </c>
      <c r="AI7" s="19">
        <v>1</v>
      </c>
      <c r="AJ7" s="19">
        <v>1</v>
      </c>
      <c r="AK7" s="19">
        <v>0</v>
      </c>
      <c r="AL7" s="19">
        <v>0</v>
      </c>
      <c r="AM7" s="19">
        <v>1</v>
      </c>
      <c r="AN7" s="19">
        <v>1</v>
      </c>
      <c r="AO7" s="19">
        <v>1</v>
      </c>
      <c r="AP7" s="27">
        <v>436.48</v>
      </c>
      <c r="AQ7" s="19">
        <v>2</v>
      </c>
      <c r="AR7" s="19">
        <v>1000</v>
      </c>
      <c r="AS7" s="15" t="s">
        <v>38</v>
      </c>
      <c r="AT7" s="21"/>
    </row>
    <row x14ac:dyDescent="0.25" r="8" customHeight="1" ht="18.75">
      <c r="A8" s="21"/>
      <c r="B8" s="21"/>
      <c r="C8" s="21"/>
      <c r="D8" s="21"/>
      <c r="E8" s="21"/>
      <c r="F8" s="21"/>
      <c r="G8" s="21"/>
      <c r="H8" s="47" t="s">
        <v>39</v>
      </c>
      <c r="I8" s="48">
        <v>0.5562</v>
      </c>
      <c r="J8" s="49">
        <v>0.04836</v>
      </c>
      <c r="K8" s="48">
        <v>3.86959</v>
      </c>
      <c r="L8" s="49">
        <v>0.16667</v>
      </c>
      <c r="M8" s="17">
        <f>LN(I8)</f>
      </c>
      <c r="N8" s="17">
        <f>LN(J8)</f>
      </c>
      <c r="O8" s="17">
        <f>LN(K8)</f>
      </c>
      <c r="P8" s="17">
        <f>LN(L8)</f>
      </c>
      <c r="Q8" s="17">
        <v>18</v>
      </c>
      <c r="R8" s="17">
        <v>6</v>
      </c>
      <c r="S8" s="17">
        <v>3</v>
      </c>
      <c r="T8" s="17">
        <v>1</v>
      </c>
      <c r="U8" s="17">
        <v>173.8</v>
      </c>
      <c r="V8" s="17">
        <v>54</v>
      </c>
      <c r="W8" s="17">
        <v>54</v>
      </c>
      <c r="X8" s="63">
        <v>32</v>
      </c>
      <c r="Y8" s="63">
        <v>7</v>
      </c>
      <c r="Z8" s="63">
        <v>1.12</v>
      </c>
      <c r="AA8" s="63">
        <v>0.25</v>
      </c>
      <c r="AB8" s="63">
        <v>94</v>
      </c>
      <c r="AC8" s="18">
        <v>1000</v>
      </c>
      <c r="AD8" s="18">
        <f>(195+335+343+391+370)/7</f>
      </c>
      <c r="AE8" s="18">
        <f>(491+137)/2</f>
      </c>
      <c r="AF8" s="18">
        <f>(277+201+367+144+412+370)/6</f>
      </c>
      <c r="AG8" s="18">
        <f>370*2/3</f>
      </c>
      <c r="AH8" s="64">
        <f>1630/2</f>
      </c>
      <c r="AI8" s="19">
        <v>2</v>
      </c>
      <c r="AJ8" s="19">
        <v>1</v>
      </c>
      <c r="AK8" s="19">
        <v>2</v>
      </c>
      <c r="AL8" s="19">
        <v>2</v>
      </c>
      <c r="AM8" s="19">
        <v>1</v>
      </c>
      <c r="AN8" s="19">
        <v>6</v>
      </c>
      <c r="AO8" s="19">
        <v>1</v>
      </c>
      <c r="AP8" s="27">
        <v>1751.04</v>
      </c>
      <c r="AQ8" s="19">
        <v>4</v>
      </c>
      <c r="AR8" s="19">
        <v>1000</v>
      </c>
      <c r="AS8" s="15" t="s">
        <v>39</v>
      </c>
      <c r="AT8" s="21"/>
    </row>
    <row x14ac:dyDescent="0.25" r="9" customHeight="1" ht="18.75">
      <c r="A9" s="21"/>
      <c r="B9" s="21"/>
      <c r="C9" s="21"/>
      <c r="D9" s="21"/>
      <c r="E9" s="21"/>
      <c r="F9" s="21"/>
      <c r="G9" s="21"/>
      <c r="H9" s="47" t="s">
        <v>40</v>
      </c>
      <c r="I9" s="49">
        <v>0.21295</v>
      </c>
      <c r="J9" s="48">
        <v>0.72559</v>
      </c>
      <c r="K9" s="48">
        <v>3.80213</v>
      </c>
      <c r="L9" s="48">
        <v>0.54747</v>
      </c>
      <c r="M9" s="17">
        <f>LN(I9)</f>
      </c>
      <c r="N9" s="17">
        <f>LN(J9)</f>
      </c>
      <c r="O9" s="17">
        <f>LN(K9)</f>
      </c>
      <c r="P9" s="17">
        <f>LN(L9)</f>
      </c>
      <c r="Q9" s="17">
        <v>14</v>
      </c>
      <c r="R9" s="17">
        <v>5</v>
      </c>
      <c r="S9" s="17">
        <v>2</v>
      </c>
      <c r="T9" s="17">
        <v>1</v>
      </c>
      <c r="U9" s="17">
        <v>96</v>
      </c>
      <c r="V9" s="17">
        <v>52</v>
      </c>
      <c r="W9" s="17">
        <v>47.1</v>
      </c>
      <c r="X9" s="63">
        <v>32</v>
      </c>
      <c r="Y9" s="63">
        <v>7</v>
      </c>
      <c r="Z9" s="63">
        <v>1.12</v>
      </c>
      <c r="AA9" s="63">
        <v>0.25</v>
      </c>
      <c r="AB9" s="63">
        <v>94</v>
      </c>
      <c r="AC9" s="18">
        <f>(483+908)/2</f>
      </c>
      <c r="AD9" s="18">
        <f>(858+479+224+309+219+179)/7</f>
      </c>
      <c r="AE9" s="18">
        <f>(336+158)/2</f>
      </c>
      <c r="AF9" s="18">
        <f>(166+215+370)/6</f>
      </c>
      <c r="AG9" s="18">
        <f>139/3</f>
      </c>
      <c r="AH9" s="65">
        <f>1665/2</f>
      </c>
      <c r="AI9" s="19">
        <v>1</v>
      </c>
      <c r="AJ9" s="19">
        <v>1</v>
      </c>
      <c r="AK9" s="19">
        <v>2</v>
      </c>
      <c r="AL9" s="19">
        <v>1</v>
      </c>
      <c r="AM9" s="19">
        <v>0</v>
      </c>
      <c r="AN9" s="19">
        <v>2</v>
      </c>
      <c r="AO9" s="19">
        <v>1</v>
      </c>
      <c r="AP9" s="19">
        <v>389</v>
      </c>
      <c r="AQ9" s="19">
        <v>3</v>
      </c>
      <c r="AR9" s="19">
        <v>599</v>
      </c>
      <c r="AS9" s="15" t="s">
        <v>40</v>
      </c>
      <c r="AT9" s="21"/>
    </row>
    <row x14ac:dyDescent="0.25" r="10" customHeight="1" ht="18.75">
      <c r="A10" s="21"/>
      <c r="B10" s="21"/>
      <c r="C10" s="21"/>
      <c r="D10" s="21"/>
      <c r="E10" s="21"/>
      <c r="F10" s="21"/>
      <c r="G10" s="21"/>
      <c r="H10" s="47" t="s">
        <v>41</v>
      </c>
      <c r="I10" s="48">
        <v>0.50352</v>
      </c>
      <c r="J10" s="49">
        <v>0.05859</v>
      </c>
      <c r="K10" s="48">
        <v>2.29349</v>
      </c>
      <c r="L10" s="49">
        <v>0.19428</v>
      </c>
      <c r="M10" s="17">
        <f>LN(I10)</f>
      </c>
      <c r="N10" s="17">
        <f>LN(J10)</f>
      </c>
      <c r="O10" s="17">
        <f>LN(K10)</f>
      </c>
      <c r="P10" s="17">
        <f>LN(L10)</f>
      </c>
      <c r="Q10" s="17">
        <v>21</v>
      </c>
      <c r="R10" s="17">
        <v>4</v>
      </c>
      <c r="S10" s="17">
        <v>4</v>
      </c>
      <c r="T10" s="17">
        <v>2</v>
      </c>
      <c r="U10" s="17">
        <v>240</v>
      </c>
      <c r="V10" s="17">
        <v>51.3</v>
      </c>
      <c r="W10" s="17">
        <v>51.3</v>
      </c>
      <c r="X10" s="63">
        <v>51</v>
      </c>
      <c r="Y10" s="63">
        <v>3</v>
      </c>
      <c r="Z10" s="63">
        <v>0.82</v>
      </c>
      <c r="AA10" s="63">
        <v>0.05</v>
      </c>
      <c r="AB10" s="63">
        <v>154</v>
      </c>
      <c r="AC10" s="18">
        <f>(407+711)/2</f>
      </c>
      <c r="AD10" s="18">
        <f>(159+215+344+536+309)/7</f>
      </c>
      <c r="AE10" s="18">
        <f>1756/2</f>
      </c>
      <c r="AF10" s="18">
        <v>0</v>
      </c>
      <c r="AG10" s="18">
        <f>117/2</f>
      </c>
      <c r="AH10" s="18">
        <f>1447/2</f>
      </c>
      <c r="AI10" s="19">
        <v>1</v>
      </c>
      <c r="AJ10" s="19">
        <v>1</v>
      </c>
      <c r="AK10" s="19">
        <v>3</v>
      </c>
      <c r="AL10" s="19">
        <v>0</v>
      </c>
      <c r="AM10" s="19">
        <v>0</v>
      </c>
      <c r="AN10" s="19">
        <v>2</v>
      </c>
      <c r="AO10" s="19">
        <v>2</v>
      </c>
      <c r="AP10" s="27">
        <v>850.57</v>
      </c>
      <c r="AQ10" s="19">
        <v>2</v>
      </c>
      <c r="AR10" s="19">
        <v>1000</v>
      </c>
      <c r="AS10" s="15" t="s">
        <v>41</v>
      </c>
      <c r="AT10" s="21"/>
    </row>
    <row x14ac:dyDescent="0.25" r="11" customHeight="1" ht="18.75">
      <c r="A11" s="21"/>
      <c r="B11" s="21"/>
      <c r="C11" s="21"/>
      <c r="D11" s="21"/>
      <c r="E11" s="21"/>
      <c r="F11" s="21"/>
      <c r="G11" s="21"/>
      <c r="H11" s="47" t="s">
        <v>42</v>
      </c>
      <c r="I11" s="48">
        <v>0.43389</v>
      </c>
      <c r="J11" s="48">
        <v>0.31134</v>
      </c>
      <c r="K11" s="48">
        <v>1.74405</v>
      </c>
      <c r="L11" s="48">
        <v>0.45052</v>
      </c>
      <c r="M11" s="17">
        <f>LN(I11)</f>
      </c>
      <c r="N11" s="17">
        <f>LN(J11)</f>
      </c>
      <c r="O11" s="17">
        <f>LN(K11)</f>
      </c>
      <c r="P11" s="17">
        <f>LN(L11)</f>
      </c>
      <c r="Q11" s="17">
        <v>5</v>
      </c>
      <c r="R11" s="17">
        <v>2</v>
      </c>
      <c r="S11" s="17">
        <v>0</v>
      </c>
      <c r="T11" s="17">
        <v>1</v>
      </c>
      <c r="U11" s="17">
        <v>60</v>
      </c>
      <c r="V11" s="17">
        <v>46.3</v>
      </c>
      <c r="W11" s="17">
        <v>0</v>
      </c>
      <c r="X11" s="63">
        <v>51</v>
      </c>
      <c r="Y11" s="63">
        <v>3</v>
      </c>
      <c r="Z11" s="63">
        <v>0.82</v>
      </c>
      <c r="AA11" s="63">
        <v>0.05</v>
      </c>
      <c r="AB11" s="63">
        <v>154</v>
      </c>
      <c r="AC11" s="18">
        <v>0</v>
      </c>
      <c r="AD11" s="18">
        <f>211/7</f>
      </c>
      <c r="AE11" s="18">
        <f>268/2</f>
      </c>
      <c r="AF11" s="18">
        <v>0</v>
      </c>
      <c r="AG11" s="18">
        <v>0</v>
      </c>
      <c r="AH11" s="18">
        <f>903/2</f>
      </c>
      <c r="AI11" s="19">
        <v>0</v>
      </c>
      <c r="AJ11" s="19">
        <v>0</v>
      </c>
      <c r="AK11" s="19">
        <v>1</v>
      </c>
      <c r="AL11" s="19">
        <v>0</v>
      </c>
      <c r="AM11" s="19">
        <v>0</v>
      </c>
      <c r="AN11" s="19">
        <v>1</v>
      </c>
      <c r="AO11" s="19">
        <v>0</v>
      </c>
      <c r="AP11" s="19">
        <v>0</v>
      </c>
      <c r="AQ11" s="19">
        <v>1</v>
      </c>
      <c r="AR11" s="19">
        <v>534</v>
      </c>
      <c r="AS11" s="15" t="s">
        <v>42</v>
      </c>
      <c r="AT11" s="21"/>
    </row>
    <row x14ac:dyDescent="0.25" r="12" customHeight="1" ht="18.75">
      <c r="A12" s="21"/>
      <c r="B12" s="21"/>
      <c r="C12" s="21"/>
      <c r="D12" s="21"/>
      <c r="E12" s="21"/>
      <c r="F12" s="21"/>
      <c r="G12" s="21"/>
      <c r="H12" s="47" t="s">
        <v>43</v>
      </c>
      <c r="I12" s="49">
        <v>0.24093</v>
      </c>
      <c r="J12" s="49">
        <v>0.15954</v>
      </c>
      <c r="K12" s="48">
        <v>0.6009</v>
      </c>
      <c r="L12" s="49">
        <v>0.15819</v>
      </c>
      <c r="M12" s="17">
        <f>LN(I12)</f>
      </c>
      <c r="N12" s="17">
        <f>LN(J12)</f>
      </c>
      <c r="O12" s="17">
        <f>LN(K12)</f>
      </c>
      <c r="P12" s="17">
        <f>LN(L12)</f>
      </c>
      <c r="Q12" s="17">
        <v>30</v>
      </c>
      <c r="R12" s="17">
        <v>17</v>
      </c>
      <c r="S12" s="17">
        <v>0</v>
      </c>
      <c r="T12" s="17">
        <v>1</v>
      </c>
      <c r="U12" s="17">
        <v>237</v>
      </c>
      <c r="V12" s="17">
        <v>53.1</v>
      </c>
      <c r="W12" s="17">
        <v>53.1</v>
      </c>
      <c r="X12" s="63">
        <v>53</v>
      </c>
      <c r="Y12" s="63">
        <v>4</v>
      </c>
      <c r="Z12" s="63">
        <v>1.28</v>
      </c>
      <c r="AA12" s="63">
        <v>0.1</v>
      </c>
      <c r="AB12" s="63">
        <v>294</v>
      </c>
      <c r="AC12" s="18">
        <f>1534/2</f>
      </c>
      <c r="AD12" s="18">
        <f>(220+278+173)/7</f>
      </c>
      <c r="AE12" s="18">
        <v>160</v>
      </c>
      <c r="AF12" s="18">
        <v>1000</v>
      </c>
      <c r="AG12" s="18">
        <v>0</v>
      </c>
      <c r="AH12" s="18">
        <v>832</v>
      </c>
      <c r="AI12" s="19">
        <v>3</v>
      </c>
      <c r="AJ12" s="19">
        <v>2</v>
      </c>
      <c r="AK12" s="19">
        <v>2</v>
      </c>
      <c r="AL12" s="19">
        <v>1</v>
      </c>
      <c r="AM12" s="19">
        <v>0</v>
      </c>
      <c r="AN12" s="19">
        <v>6</v>
      </c>
      <c r="AO12" s="19">
        <v>1</v>
      </c>
      <c r="AP12" s="27">
        <v>809.21</v>
      </c>
      <c r="AQ12" s="19">
        <v>2</v>
      </c>
      <c r="AR12" s="19">
        <v>537</v>
      </c>
      <c r="AS12" s="15" t="s">
        <v>43</v>
      </c>
      <c r="AT12" s="21"/>
    </row>
    <row x14ac:dyDescent="0.25" r="13" customHeight="1" ht="18.75">
      <c r="A13" s="21"/>
      <c r="B13" s="21"/>
      <c r="C13" s="21"/>
      <c r="D13" s="21"/>
      <c r="E13" s="21"/>
      <c r="F13" s="21"/>
      <c r="G13" s="21"/>
      <c r="H13" s="47" t="s">
        <v>44</v>
      </c>
      <c r="I13" s="49">
        <v>0.0784</v>
      </c>
      <c r="J13" s="48">
        <v>0.30686</v>
      </c>
      <c r="K13" s="48">
        <v>3.53961</v>
      </c>
      <c r="L13" s="49">
        <v>0.23122</v>
      </c>
      <c r="M13" s="17">
        <f>LN(I13)</f>
      </c>
      <c r="N13" s="17">
        <f>LN(J13)</f>
      </c>
      <c r="O13" s="17">
        <f>LN(K13)</f>
      </c>
      <c r="P13" s="17">
        <f>LN(L13)</f>
      </c>
      <c r="Q13" s="17">
        <v>9</v>
      </c>
      <c r="R13" s="17">
        <v>4</v>
      </c>
      <c r="S13" s="17">
        <v>0</v>
      </c>
      <c r="T13" s="17">
        <v>1</v>
      </c>
      <c r="U13" s="17">
        <v>137</v>
      </c>
      <c r="V13" s="17">
        <v>54.4</v>
      </c>
      <c r="W13" s="17">
        <v>0</v>
      </c>
      <c r="X13" s="63">
        <v>53</v>
      </c>
      <c r="Y13" s="63">
        <v>4</v>
      </c>
      <c r="Z13" s="63">
        <v>1.28</v>
      </c>
      <c r="AA13" s="63">
        <v>0.1</v>
      </c>
      <c r="AB13" s="63">
        <v>294</v>
      </c>
      <c r="AC13" s="18">
        <f>1578/2</f>
      </c>
      <c r="AD13" s="18">
        <f>(378+255+693+433+472+631+370)/7</f>
      </c>
      <c r="AE13" s="18">
        <v>116.5</v>
      </c>
      <c r="AF13" s="18">
        <f>142/6</f>
      </c>
      <c r="AG13" s="18">
        <v>0</v>
      </c>
      <c r="AH13" s="18">
        <f>1714/2</f>
      </c>
      <c r="AI13" s="19">
        <v>1</v>
      </c>
      <c r="AJ13" s="19">
        <v>2</v>
      </c>
      <c r="AK13" s="19">
        <v>1</v>
      </c>
      <c r="AL13" s="19">
        <v>0</v>
      </c>
      <c r="AM13" s="19">
        <v>0</v>
      </c>
      <c r="AN13" s="19">
        <v>1</v>
      </c>
      <c r="AO13" s="19">
        <v>0</v>
      </c>
      <c r="AP13" s="19">
        <v>0</v>
      </c>
      <c r="AQ13" s="19">
        <v>1</v>
      </c>
      <c r="AR13" s="19">
        <v>556</v>
      </c>
      <c r="AS13" s="15" t="s">
        <v>44</v>
      </c>
      <c r="AT13" s="21"/>
    </row>
    <row x14ac:dyDescent="0.25" r="14" customHeight="1" ht="18.75">
      <c r="A14" s="21"/>
      <c r="B14" s="21"/>
      <c r="C14" s="21"/>
      <c r="D14" s="21"/>
      <c r="E14" s="21"/>
      <c r="F14" s="21"/>
      <c r="G14" s="21"/>
      <c r="H14" s="47" t="s">
        <v>45</v>
      </c>
      <c r="I14" s="48">
        <v>0.79901</v>
      </c>
      <c r="J14" s="48">
        <v>0.49499</v>
      </c>
      <c r="K14" s="48">
        <v>1.74198</v>
      </c>
      <c r="L14" s="48">
        <v>0.77382</v>
      </c>
      <c r="M14" s="17">
        <f>LN(I14)</f>
      </c>
      <c r="N14" s="17">
        <f>LN(J14)</f>
      </c>
      <c r="O14" s="17">
        <f>LN(K14)</f>
      </c>
      <c r="P14" s="17">
        <f>LN(L14)</f>
      </c>
      <c r="Q14" s="17">
        <v>5</v>
      </c>
      <c r="R14" s="17">
        <v>4</v>
      </c>
      <c r="S14" s="17">
        <v>1</v>
      </c>
      <c r="T14" s="17">
        <v>1</v>
      </c>
      <c r="U14" s="17">
        <v>219</v>
      </c>
      <c r="V14" s="17">
        <v>57.5</v>
      </c>
      <c r="W14" s="17">
        <v>52.8</v>
      </c>
      <c r="X14" s="63">
        <v>53</v>
      </c>
      <c r="Y14" s="63">
        <v>4</v>
      </c>
      <c r="Z14" s="63">
        <v>1.28</v>
      </c>
      <c r="AA14" s="63">
        <v>0.1</v>
      </c>
      <c r="AB14" s="63">
        <v>294</v>
      </c>
      <c r="AC14" s="18">
        <v>1000</v>
      </c>
      <c r="AD14" s="18">
        <f>(566+464+815+929+1831+370)/7</f>
      </c>
      <c r="AE14" s="18">
        <v>502</v>
      </c>
      <c r="AF14" s="18">
        <f>(4799+889)/6</f>
      </c>
      <c r="AG14" s="18">
        <f>534*2/3</f>
      </c>
      <c r="AH14" s="18">
        <f>1278/2</f>
      </c>
      <c r="AI14" s="19">
        <v>3</v>
      </c>
      <c r="AJ14" s="19">
        <v>2</v>
      </c>
      <c r="AK14" s="19">
        <v>1</v>
      </c>
      <c r="AL14" s="19">
        <v>1</v>
      </c>
      <c r="AM14" s="19">
        <v>1</v>
      </c>
      <c r="AN14" s="19">
        <v>2</v>
      </c>
      <c r="AO14" s="19">
        <v>1</v>
      </c>
      <c r="AP14" s="27">
        <v>374.24</v>
      </c>
      <c r="AQ14" s="19">
        <v>1</v>
      </c>
      <c r="AR14" s="19">
        <v>682</v>
      </c>
      <c r="AS14" s="15" t="s">
        <v>45</v>
      </c>
      <c r="AT14" s="21"/>
    </row>
    <row x14ac:dyDescent="0.25" r="15" customHeight="1" ht="18.75">
      <c r="A15" s="21"/>
      <c r="B15" s="21"/>
      <c r="C15" s="21"/>
      <c r="D15" s="21"/>
      <c r="E15" s="21"/>
      <c r="F15" s="21"/>
      <c r="G15" s="21"/>
      <c r="H15" s="47" t="s">
        <v>46</v>
      </c>
      <c r="I15" s="48">
        <v>1.14851</v>
      </c>
      <c r="J15" s="49">
        <v>0.16633</v>
      </c>
      <c r="K15" s="48">
        <v>2.34083</v>
      </c>
      <c r="L15" s="48">
        <v>0.63401</v>
      </c>
      <c r="M15" s="17">
        <f>LN(I15)</f>
      </c>
      <c r="N15" s="17">
        <f>LN(J15)</f>
      </c>
      <c r="O15" s="17">
        <f>LN(K15)</f>
      </c>
      <c r="P15" s="17">
        <f>LN(L15)</f>
      </c>
      <c r="Q15" s="17">
        <v>8</v>
      </c>
      <c r="R15" s="17">
        <v>1</v>
      </c>
      <c r="S15" s="17">
        <v>0</v>
      </c>
      <c r="T15" s="17">
        <v>1</v>
      </c>
      <c r="U15" s="17">
        <v>118</v>
      </c>
      <c r="V15" s="17">
        <v>38.7</v>
      </c>
      <c r="W15" s="17">
        <v>0</v>
      </c>
      <c r="X15" s="63">
        <v>10</v>
      </c>
      <c r="Y15" s="63">
        <v>4</v>
      </c>
      <c r="Z15" s="63">
        <v>1.94</v>
      </c>
      <c r="AA15" s="63">
        <v>0.78</v>
      </c>
      <c r="AB15" s="63">
        <v>374</v>
      </c>
      <c r="AC15" s="18">
        <f>1971/2</f>
      </c>
      <c r="AD15" s="18">
        <f>(407+467+736+622+551+408+162)/7</f>
      </c>
      <c r="AE15" s="18">
        <f>(899+113)/2</f>
      </c>
      <c r="AF15" s="18">
        <f>(686+538+704+340+661+720)/6</f>
      </c>
      <c r="AG15" s="18">
        <v>0</v>
      </c>
      <c r="AH15" s="18">
        <f>1307/2</f>
      </c>
      <c r="AI15" s="19">
        <v>1</v>
      </c>
      <c r="AJ15" s="19">
        <v>2</v>
      </c>
      <c r="AK15" s="19">
        <v>2</v>
      </c>
      <c r="AL15" s="19">
        <v>1</v>
      </c>
      <c r="AM15" s="19">
        <v>0</v>
      </c>
      <c r="AN15" s="19">
        <v>2</v>
      </c>
      <c r="AO15" s="19">
        <v>1</v>
      </c>
      <c r="AP15" s="27">
        <v>908.71</v>
      </c>
      <c r="AQ15" s="19">
        <v>1</v>
      </c>
      <c r="AR15" s="19">
        <v>1000</v>
      </c>
      <c r="AS15" s="15" t="s">
        <v>46</v>
      </c>
      <c r="AT15" s="21"/>
    </row>
    <row x14ac:dyDescent="0.25" r="16" customHeight="1" ht="18.75">
      <c r="A16" s="21"/>
      <c r="B16" s="21"/>
      <c r="C16" s="21"/>
      <c r="D16" s="21"/>
      <c r="E16" s="21"/>
      <c r="F16" s="21"/>
      <c r="G16" s="21"/>
      <c r="H16" s="47" t="s">
        <v>47</v>
      </c>
      <c r="I16" s="49">
        <v>0.17995</v>
      </c>
      <c r="J16" s="49">
        <v>0.03723</v>
      </c>
      <c r="K16" s="48">
        <v>0.70716</v>
      </c>
      <c r="L16" s="49">
        <v>0.14799</v>
      </c>
      <c r="M16" s="17">
        <f>LN(I16)</f>
      </c>
      <c r="N16" s="17">
        <f>LN(J16)</f>
      </c>
      <c r="O16" s="17">
        <f>LN(K16)</f>
      </c>
      <c r="P16" s="17">
        <f>LN(L16)</f>
      </c>
      <c r="Q16" s="17">
        <v>16</v>
      </c>
      <c r="R16" s="17">
        <v>11</v>
      </c>
      <c r="S16" s="17">
        <v>3</v>
      </c>
      <c r="T16" s="17">
        <v>6</v>
      </c>
      <c r="U16" s="17">
        <v>157.2</v>
      </c>
      <c r="V16" s="17">
        <v>47.8</v>
      </c>
      <c r="W16" s="17">
        <v>47.8</v>
      </c>
      <c r="X16" s="63">
        <v>10</v>
      </c>
      <c r="Y16" s="63">
        <v>4</v>
      </c>
      <c r="Z16" s="63">
        <v>1.94</v>
      </c>
      <c r="AA16" s="63">
        <v>0.78</v>
      </c>
      <c r="AB16" s="63">
        <v>374</v>
      </c>
      <c r="AC16" s="18">
        <v>557</v>
      </c>
      <c r="AD16" s="18">
        <v>716.57</v>
      </c>
      <c r="AE16" s="18">
        <v>162.5</v>
      </c>
      <c r="AF16" s="18">
        <f>(608+739+807+889+1803)/6</f>
      </c>
      <c r="AG16" s="18">
        <v>320.6</v>
      </c>
      <c r="AH16" s="18">
        <f>1476/2</f>
      </c>
      <c r="AI16" s="19">
        <v>2</v>
      </c>
      <c r="AJ16" s="19">
        <v>4</v>
      </c>
      <c r="AK16" s="19">
        <v>2</v>
      </c>
      <c r="AL16" s="19">
        <v>1</v>
      </c>
      <c r="AM16" s="19">
        <v>2</v>
      </c>
      <c r="AN16" s="19">
        <v>7</v>
      </c>
      <c r="AO16" s="19">
        <v>1</v>
      </c>
      <c r="AP16" s="19">
        <v>3100</v>
      </c>
      <c r="AQ16" s="19">
        <v>2</v>
      </c>
      <c r="AR16" s="19">
        <v>1000</v>
      </c>
      <c r="AS16" s="15" t="s">
        <v>47</v>
      </c>
      <c r="AT16" s="21"/>
    </row>
    <row x14ac:dyDescent="0.25" r="17" customHeight="1" ht="18.75">
      <c r="A17" s="21"/>
      <c r="B17" s="21"/>
      <c r="C17" s="21"/>
      <c r="D17" s="21"/>
      <c r="E17" s="21"/>
      <c r="F17" s="21"/>
      <c r="G17" s="21"/>
      <c r="H17" s="47" t="s">
        <v>48</v>
      </c>
      <c r="I17" s="48">
        <v>0.60185</v>
      </c>
      <c r="J17" s="49">
        <v>0.12623</v>
      </c>
      <c r="K17" s="48">
        <v>1.81754</v>
      </c>
      <c r="L17" s="48">
        <v>0.43369</v>
      </c>
      <c r="M17" s="17">
        <f>LN(I17)</f>
      </c>
      <c r="N17" s="17">
        <f>LN(J17)</f>
      </c>
      <c r="O17" s="17">
        <f>LN(K17)</f>
      </c>
      <c r="P17" s="17">
        <f>LN(L17)</f>
      </c>
      <c r="Q17" s="17">
        <v>17</v>
      </c>
      <c r="R17" s="17">
        <v>2</v>
      </c>
      <c r="S17" s="17">
        <v>1</v>
      </c>
      <c r="T17" s="17">
        <v>1</v>
      </c>
      <c r="U17" s="17">
        <v>181</v>
      </c>
      <c r="V17" s="17">
        <v>48.5</v>
      </c>
      <c r="W17" s="17">
        <v>39.2</v>
      </c>
      <c r="X17" s="63">
        <v>32</v>
      </c>
      <c r="Y17" s="63">
        <v>7</v>
      </c>
      <c r="Z17" s="63">
        <v>1.12</v>
      </c>
      <c r="AA17" s="63">
        <v>0.25</v>
      </c>
      <c r="AB17" s="63">
        <v>94</v>
      </c>
      <c r="AC17" s="18">
        <f>(281+485)/2</f>
      </c>
      <c r="AD17" s="18">
        <f>6401/7</f>
      </c>
      <c r="AE17" s="18">
        <v>707</v>
      </c>
      <c r="AF17" s="18">
        <f>(828+598+597+496+666+1000)/6</f>
      </c>
      <c r="AG17" s="18">
        <f>243/3</f>
      </c>
      <c r="AH17" s="18">
        <f>1895/2</f>
      </c>
      <c r="AI17" s="19">
        <v>1</v>
      </c>
      <c r="AJ17" s="19">
        <v>1</v>
      </c>
      <c r="AK17" s="19">
        <v>1</v>
      </c>
      <c r="AL17" s="19">
        <v>1</v>
      </c>
      <c r="AM17" s="19">
        <v>0</v>
      </c>
      <c r="AN17" s="19">
        <v>2</v>
      </c>
      <c r="AO17" s="19">
        <v>1</v>
      </c>
      <c r="AP17" s="27">
        <v>720.79</v>
      </c>
      <c r="AQ17" s="19">
        <v>2</v>
      </c>
      <c r="AR17" s="19">
        <v>851</v>
      </c>
      <c r="AS17" s="15" t="s">
        <v>48</v>
      </c>
      <c r="AT17" s="21"/>
    </row>
    <row x14ac:dyDescent="0.25" r="18" customHeight="1" ht="18.75">
      <c r="A18" s="21"/>
      <c r="B18" s="21"/>
      <c r="C18" s="21"/>
      <c r="D18" s="21"/>
      <c r="E18" s="21"/>
      <c r="F18" s="21"/>
      <c r="G18" s="21"/>
      <c r="H18" s="47" t="s">
        <v>49</v>
      </c>
      <c r="I18" s="48">
        <v>0.41872</v>
      </c>
      <c r="J18" s="48">
        <v>0.4059</v>
      </c>
      <c r="K18" s="48">
        <v>1.43883</v>
      </c>
      <c r="L18" s="48">
        <v>0.33349</v>
      </c>
      <c r="M18" s="17">
        <f>LN(I18)</f>
      </c>
      <c r="N18" s="17">
        <f>LN(J18)</f>
      </c>
      <c r="O18" s="17">
        <f>LN(K18)</f>
      </c>
      <c r="P18" s="17">
        <f>LN(L18)</f>
      </c>
      <c r="Q18" s="17">
        <v>14</v>
      </c>
      <c r="R18" s="17">
        <v>5</v>
      </c>
      <c r="S18" s="17">
        <v>0</v>
      </c>
      <c r="T18" s="17">
        <v>1</v>
      </c>
      <c r="U18" s="17">
        <v>162</v>
      </c>
      <c r="V18" s="17">
        <v>51.9</v>
      </c>
      <c r="W18" s="17">
        <v>0</v>
      </c>
      <c r="X18" s="63">
        <v>2</v>
      </c>
      <c r="Y18" s="63">
        <v>3</v>
      </c>
      <c r="Z18" s="63">
        <v>0.41</v>
      </c>
      <c r="AA18" s="63">
        <v>0.62</v>
      </c>
      <c r="AB18" s="63">
        <v>348</v>
      </c>
      <c r="AC18" s="18">
        <f>(593+418)/2</f>
      </c>
      <c r="AD18" s="18">
        <f>(673+724+2742+957+893)/7</f>
      </c>
      <c r="AE18" s="18">
        <v>830</v>
      </c>
      <c r="AF18" s="18">
        <v>1000</v>
      </c>
      <c r="AG18" s="18">
        <f>131/3</f>
      </c>
      <c r="AH18" s="18">
        <f>1479/2</f>
      </c>
      <c r="AI18" s="19">
        <v>2</v>
      </c>
      <c r="AJ18" s="19">
        <v>1</v>
      </c>
      <c r="AK18" s="19">
        <v>3</v>
      </c>
      <c r="AL18" s="19">
        <v>1</v>
      </c>
      <c r="AM18" s="19">
        <v>0</v>
      </c>
      <c r="AN18" s="19">
        <v>3</v>
      </c>
      <c r="AO18" s="19">
        <v>1</v>
      </c>
      <c r="AP18" s="27">
        <v>973.49</v>
      </c>
      <c r="AQ18" s="19">
        <v>3</v>
      </c>
      <c r="AR18" s="19">
        <v>760</v>
      </c>
      <c r="AS18" s="15" t="s">
        <v>49</v>
      </c>
      <c r="AT18" s="21"/>
    </row>
    <row x14ac:dyDescent="0.25" r="19" customHeight="1" ht="18.75">
      <c r="A19" s="21"/>
      <c r="B19" s="21"/>
      <c r="C19" s="21"/>
      <c r="D19" s="21"/>
      <c r="E19" s="21"/>
      <c r="F19" s="21"/>
      <c r="G19" s="21"/>
      <c r="H19" s="47" t="s">
        <v>50</v>
      </c>
      <c r="I19" s="48">
        <v>0.62666</v>
      </c>
      <c r="J19" s="49">
        <v>0.20708</v>
      </c>
      <c r="K19" s="48">
        <v>3.41379</v>
      </c>
      <c r="L19" s="48">
        <v>0.39676</v>
      </c>
      <c r="M19" s="17">
        <f>LN(I19)</f>
      </c>
      <c r="N19" s="17">
        <f>LN(J19)</f>
      </c>
      <c r="O19" s="17">
        <f>LN(K19)</f>
      </c>
      <c r="P19" s="17">
        <f>LN(L19)</f>
      </c>
      <c r="Q19" s="17">
        <v>9</v>
      </c>
      <c r="R19" s="17">
        <v>6</v>
      </c>
      <c r="S19" s="17">
        <v>4</v>
      </c>
      <c r="T19" s="17">
        <v>2</v>
      </c>
      <c r="U19" s="17">
        <v>154</v>
      </c>
      <c r="V19" s="17">
        <v>53.8</v>
      </c>
      <c r="W19" s="17">
        <v>53.8</v>
      </c>
      <c r="X19" s="63">
        <v>2</v>
      </c>
      <c r="Y19" s="63">
        <v>3</v>
      </c>
      <c r="Z19" s="63">
        <v>0.41</v>
      </c>
      <c r="AA19" s="63">
        <v>0.62</v>
      </c>
      <c r="AB19" s="63">
        <v>348</v>
      </c>
      <c r="AC19" s="18">
        <v>1000</v>
      </c>
      <c r="AD19" s="18">
        <f>6679/7</f>
      </c>
      <c r="AE19" s="18">
        <f>(887+122)/2</f>
      </c>
      <c r="AF19" s="18">
        <v>905.5</v>
      </c>
      <c r="AG19" s="18">
        <f>2455/3</f>
      </c>
      <c r="AH19" s="18">
        <f>1729/2</f>
      </c>
      <c r="AI19" s="19">
        <v>3</v>
      </c>
      <c r="AJ19" s="19">
        <v>4</v>
      </c>
      <c r="AK19" s="19">
        <v>2</v>
      </c>
      <c r="AL19" s="19">
        <v>1</v>
      </c>
      <c r="AM19" s="19">
        <v>2</v>
      </c>
      <c r="AN19" s="19">
        <v>4</v>
      </c>
      <c r="AO19" s="19">
        <v>1</v>
      </c>
      <c r="AP19" s="19">
        <v>2459</v>
      </c>
      <c r="AQ19" s="19">
        <v>3</v>
      </c>
      <c r="AR19" s="19">
        <v>864</v>
      </c>
      <c r="AS19" s="15" t="s">
        <v>50</v>
      </c>
      <c r="AT19" s="21"/>
    </row>
    <row x14ac:dyDescent="0.25" r="20" customHeight="1" ht="18.75">
      <c r="A20" s="21"/>
      <c r="B20" s="21"/>
      <c r="C20" s="21"/>
      <c r="D20" s="21"/>
      <c r="E20" s="21"/>
      <c r="F20" s="21"/>
      <c r="G20" s="21"/>
      <c r="H20" s="47" t="s">
        <v>51</v>
      </c>
      <c r="I20" s="48">
        <v>0.55951</v>
      </c>
      <c r="J20" s="48">
        <v>0.31437</v>
      </c>
      <c r="K20" s="48">
        <v>2.35457</v>
      </c>
      <c r="L20" s="48">
        <v>0.3326</v>
      </c>
      <c r="M20" s="17">
        <f>LN(I20)</f>
      </c>
      <c r="N20" s="17">
        <f>LN(J20)</f>
      </c>
      <c r="O20" s="17">
        <f>LN(K20)</f>
      </c>
      <c r="P20" s="17">
        <f>LN(L20)</f>
      </c>
      <c r="Q20" s="17">
        <v>7</v>
      </c>
      <c r="R20" s="17">
        <v>1</v>
      </c>
      <c r="S20" s="17">
        <v>1</v>
      </c>
      <c r="T20" s="17">
        <v>1</v>
      </c>
      <c r="U20" s="17">
        <v>150</v>
      </c>
      <c r="V20" s="17">
        <v>40.8</v>
      </c>
      <c r="W20" s="17">
        <v>40.8</v>
      </c>
      <c r="X20" s="63">
        <v>2</v>
      </c>
      <c r="Y20" s="63">
        <v>3</v>
      </c>
      <c r="Z20" s="63">
        <v>0.41</v>
      </c>
      <c r="AA20" s="63">
        <v>0.62</v>
      </c>
      <c r="AB20" s="63">
        <v>348</v>
      </c>
      <c r="AC20" s="18">
        <v>1000</v>
      </c>
      <c r="AD20" s="18">
        <f>(1000+923+1748+736+689+736)/7</f>
      </c>
      <c r="AE20" s="18">
        <f>(383+128)/2</f>
      </c>
      <c r="AF20" s="18">
        <f>(118+131)/6</f>
      </c>
      <c r="AG20" s="18">
        <f>172/3</f>
      </c>
      <c r="AH20" s="18">
        <f>1348/2</f>
      </c>
      <c r="AI20" s="19">
        <v>2</v>
      </c>
      <c r="AJ20" s="19">
        <v>2</v>
      </c>
      <c r="AK20" s="19">
        <v>2</v>
      </c>
      <c r="AL20" s="19">
        <v>0</v>
      </c>
      <c r="AM20" s="19">
        <v>0</v>
      </c>
      <c r="AN20" s="19">
        <v>1</v>
      </c>
      <c r="AO20" s="19">
        <v>1</v>
      </c>
      <c r="AP20" s="27">
        <v>985.6</v>
      </c>
      <c r="AQ20" s="19">
        <v>2</v>
      </c>
      <c r="AR20" s="19">
        <v>426</v>
      </c>
      <c r="AS20" s="15" t="s">
        <v>51</v>
      </c>
      <c r="AT20" s="21"/>
    </row>
    <row x14ac:dyDescent="0.25" r="21" customHeight="1" ht="18.75">
      <c r="A21" s="21"/>
      <c r="B21" s="21"/>
      <c r="C21" s="21"/>
      <c r="D21" s="21"/>
      <c r="E21" s="21"/>
      <c r="F21" s="21"/>
      <c r="G21" s="21"/>
      <c r="H21" s="53" t="s">
        <v>52</v>
      </c>
      <c r="I21" s="48">
        <v>0.34288</v>
      </c>
      <c r="J21" s="49">
        <v>0.12055</v>
      </c>
      <c r="K21" s="48">
        <v>1.70996</v>
      </c>
      <c r="L21" s="49">
        <v>0.08396</v>
      </c>
      <c r="M21" s="17">
        <f>LN(I21)</f>
      </c>
      <c r="N21" s="17">
        <f>LN(J21)</f>
      </c>
      <c r="O21" s="17">
        <f>LN(K21)</f>
      </c>
      <c r="P21" s="17">
        <f>LN(L21)</f>
      </c>
      <c r="Q21" s="17">
        <v>1</v>
      </c>
      <c r="R21" s="17">
        <v>3</v>
      </c>
      <c r="S21" s="17">
        <v>3</v>
      </c>
      <c r="T21" s="17">
        <v>0</v>
      </c>
      <c r="U21" s="17">
        <v>0</v>
      </c>
      <c r="V21" s="17">
        <v>37.6</v>
      </c>
      <c r="W21" s="17">
        <v>37.6</v>
      </c>
      <c r="X21" s="66">
        <v>0</v>
      </c>
      <c r="Y21" s="66">
        <v>0</v>
      </c>
      <c r="Z21" s="66">
        <v>0</v>
      </c>
      <c r="AA21" s="66">
        <v>0</v>
      </c>
      <c r="AB21" s="66">
        <v>0</v>
      </c>
      <c r="AC21" s="67">
        <v>433</v>
      </c>
      <c r="AD21" s="27">
        <v>236.7</v>
      </c>
      <c r="AE21" s="67">
        <v>86.5</v>
      </c>
      <c r="AF21" s="19">
        <v>0</v>
      </c>
      <c r="AG21" s="67">
        <v>0</v>
      </c>
      <c r="AH21" s="19">
        <v>609</v>
      </c>
      <c r="AI21" s="19">
        <v>1</v>
      </c>
      <c r="AJ21" s="19">
        <v>1</v>
      </c>
      <c r="AK21" s="19">
        <v>1</v>
      </c>
      <c r="AL21" s="19">
        <v>0</v>
      </c>
      <c r="AM21" s="19">
        <v>0</v>
      </c>
      <c r="AN21" s="19">
        <v>1</v>
      </c>
      <c r="AO21" s="19">
        <v>1</v>
      </c>
      <c r="AP21" s="27">
        <v>400.66</v>
      </c>
      <c r="AQ21" s="19">
        <v>1</v>
      </c>
      <c r="AR21" s="19">
        <v>321</v>
      </c>
      <c r="AS21" s="15" t="s">
        <v>52</v>
      </c>
      <c r="AT21" s="21"/>
    </row>
    <row x14ac:dyDescent="0.25" r="22" customHeight="1" ht="18.75">
      <c r="A22" s="21"/>
      <c r="B22" s="21"/>
      <c r="C22" s="21"/>
      <c r="D22" s="21"/>
      <c r="E22" s="21"/>
      <c r="F22" s="21"/>
      <c r="G22" s="21"/>
      <c r="H22" s="53" t="s">
        <v>53</v>
      </c>
      <c r="I22" s="48">
        <v>0.27382</v>
      </c>
      <c r="J22" s="48">
        <v>0.34638</v>
      </c>
      <c r="K22" s="48">
        <v>2.1631</v>
      </c>
      <c r="L22" s="48">
        <v>0.34608</v>
      </c>
      <c r="M22" s="17">
        <f>LN(I22)</f>
      </c>
      <c r="N22" s="17">
        <f>LN(J22)</f>
      </c>
      <c r="O22" s="17">
        <f>LN(K22)</f>
      </c>
      <c r="P22" s="17">
        <f>LN(L22)</f>
      </c>
      <c r="Q22" s="17">
        <v>9</v>
      </c>
      <c r="R22" s="17">
        <v>2</v>
      </c>
      <c r="S22" s="17">
        <v>1</v>
      </c>
      <c r="T22" s="17">
        <v>1</v>
      </c>
      <c r="U22" s="17">
        <f>(78+176+135+118+151)/5</f>
      </c>
      <c r="V22" s="17">
        <v>35.4</v>
      </c>
      <c r="W22" s="17">
        <v>33.8</v>
      </c>
      <c r="X22" s="66">
        <v>0</v>
      </c>
      <c r="Y22" s="66">
        <v>0</v>
      </c>
      <c r="Z22" s="66">
        <v>0</v>
      </c>
      <c r="AA22" s="66">
        <v>0</v>
      </c>
      <c r="AB22" s="66">
        <v>0</v>
      </c>
      <c r="AC22" s="28">
        <v>1000</v>
      </c>
      <c r="AD22" s="17">
        <v>165.6</v>
      </c>
      <c r="AE22" s="28">
        <v>574</v>
      </c>
      <c r="AF22" s="28">
        <v>0</v>
      </c>
      <c r="AG22" s="28">
        <v>844</v>
      </c>
      <c r="AH22" s="28">
        <v>773</v>
      </c>
      <c r="AI22" s="19">
        <v>1</v>
      </c>
      <c r="AJ22" s="19">
        <v>1</v>
      </c>
      <c r="AK22" s="19">
        <v>1</v>
      </c>
      <c r="AL22" s="19">
        <v>0</v>
      </c>
      <c r="AM22" s="19">
        <v>1</v>
      </c>
      <c r="AN22" s="19">
        <v>2</v>
      </c>
      <c r="AO22" s="19">
        <v>1</v>
      </c>
      <c r="AP22" s="19">
        <v>407</v>
      </c>
      <c r="AQ22" s="19">
        <v>1</v>
      </c>
      <c r="AR22" s="19">
        <v>572</v>
      </c>
      <c r="AS22" s="15" t="s">
        <v>53</v>
      </c>
      <c r="AT22" s="21"/>
    </row>
    <row x14ac:dyDescent="0.25" r="23" customHeight="1" ht="18.75">
      <c r="A23" s="21"/>
      <c r="B23" s="21"/>
      <c r="C23" s="21"/>
      <c r="D23" s="21"/>
      <c r="E23" s="21"/>
      <c r="F23" s="21"/>
      <c r="G23" s="21"/>
      <c r="H23" s="53" t="s">
        <v>54</v>
      </c>
      <c r="I23" s="48">
        <v>0.57994</v>
      </c>
      <c r="J23" s="48">
        <v>0.33482</v>
      </c>
      <c r="K23" s="48">
        <v>1.93096</v>
      </c>
      <c r="L23" s="48">
        <v>0.28632</v>
      </c>
      <c r="M23" s="17">
        <f>LN(I23)</f>
      </c>
      <c r="N23" s="17">
        <f>LN(J23)</f>
      </c>
      <c r="O23" s="17">
        <f>LN(K23)</f>
      </c>
      <c r="P23" s="17">
        <f>LN(L23)</f>
      </c>
      <c r="Q23" s="17">
        <v>3</v>
      </c>
      <c r="R23" s="17">
        <v>1</v>
      </c>
      <c r="S23" s="17">
        <v>0</v>
      </c>
      <c r="T23" s="17">
        <v>1</v>
      </c>
      <c r="U23" s="28">
        <f>(129+328+203+221+114)/5</f>
      </c>
      <c r="V23" s="17">
        <v>46.5</v>
      </c>
      <c r="W23" s="17">
        <v>0</v>
      </c>
      <c r="X23" s="66">
        <v>0</v>
      </c>
      <c r="Y23" s="66">
        <v>0</v>
      </c>
      <c r="Z23" s="66">
        <v>0</v>
      </c>
      <c r="AA23" s="66">
        <v>0</v>
      </c>
      <c r="AB23" s="66">
        <v>0</v>
      </c>
      <c r="AC23" s="28">
        <v>0</v>
      </c>
      <c r="AD23" s="28">
        <v>834</v>
      </c>
      <c r="AE23" s="17">
        <v>136.5</v>
      </c>
      <c r="AF23" s="28">
        <v>0</v>
      </c>
      <c r="AG23" s="28">
        <v>0</v>
      </c>
      <c r="AH23" s="17">
        <v>838.5</v>
      </c>
      <c r="AI23" s="19">
        <v>0</v>
      </c>
      <c r="AJ23" s="19">
        <v>1</v>
      </c>
      <c r="AK23" s="19">
        <v>1</v>
      </c>
      <c r="AL23" s="19">
        <v>0</v>
      </c>
      <c r="AM23" s="19">
        <v>0</v>
      </c>
      <c r="AN23" s="19">
        <v>1</v>
      </c>
      <c r="AO23" s="19">
        <v>1</v>
      </c>
      <c r="AP23" s="27">
        <v>275.05</v>
      </c>
      <c r="AQ23" s="19">
        <v>1</v>
      </c>
      <c r="AR23" s="19">
        <v>617</v>
      </c>
      <c r="AS23" s="15" t="s">
        <v>54</v>
      </c>
      <c r="AT23" s="21"/>
    </row>
    <row x14ac:dyDescent="0.25" r="24" customHeight="1" ht="18.75">
      <c r="A24" s="21"/>
      <c r="B24" s="21"/>
      <c r="C24" s="21"/>
      <c r="D24" s="21"/>
      <c r="E24" s="21"/>
      <c r="F24" s="21"/>
      <c r="G24" s="21"/>
      <c r="H24" s="53" t="s">
        <v>55</v>
      </c>
      <c r="I24" s="48">
        <v>1.2741</v>
      </c>
      <c r="J24" s="48">
        <v>1.39384</v>
      </c>
      <c r="K24" s="48">
        <v>2.91416</v>
      </c>
      <c r="L24" s="48">
        <v>0.77144</v>
      </c>
      <c r="M24" s="17">
        <f>LN(I24)</f>
      </c>
      <c r="N24" s="17">
        <f>LN(J24)</f>
      </c>
      <c r="O24" s="17">
        <f>LN(K24)</f>
      </c>
      <c r="P24" s="17">
        <f>LN(L24)</f>
      </c>
      <c r="Q24" s="28">
        <v>1</v>
      </c>
      <c r="R24" s="28">
        <v>1</v>
      </c>
      <c r="S24" s="28">
        <v>1</v>
      </c>
      <c r="T24" s="28">
        <v>1</v>
      </c>
      <c r="U24" s="28">
        <f>(216+79)/5</f>
      </c>
      <c r="V24" s="17">
        <v>40.3</v>
      </c>
      <c r="W24" s="17">
        <v>40.3</v>
      </c>
      <c r="X24" s="66">
        <v>0</v>
      </c>
      <c r="Y24" s="66">
        <v>0</v>
      </c>
      <c r="Z24" s="66">
        <v>0</v>
      </c>
      <c r="AA24" s="66">
        <v>0</v>
      </c>
      <c r="AB24" s="66">
        <v>0</v>
      </c>
      <c r="AC24" s="28">
        <v>619</v>
      </c>
      <c r="AD24" s="28">
        <v>522</v>
      </c>
      <c r="AE24" s="17">
        <v>430.5</v>
      </c>
      <c r="AF24" s="28">
        <v>774</v>
      </c>
      <c r="AG24" s="28">
        <v>0</v>
      </c>
      <c r="AH24" s="17">
        <v>822.5</v>
      </c>
      <c r="AI24" s="28">
        <v>2</v>
      </c>
      <c r="AJ24" s="28">
        <v>1</v>
      </c>
      <c r="AK24" s="28">
        <v>1</v>
      </c>
      <c r="AL24" s="28">
        <v>2</v>
      </c>
      <c r="AM24" s="28">
        <v>0</v>
      </c>
      <c r="AN24" s="28">
        <v>2</v>
      </c>
      <c r="AO24" s="28">
        <v>1</v>
      </c>
      <c r="AP24" s="17">
        <v>917.27</v>
      </c>
      <c r="AQ24" s="28">
        <v>1</v>
      </c>
      <c r="AR24" s="28">
        <v>990</v>
      </c>
      <c r="AS24" s="15" t="s">
        <v>55</v>
      </c>
      <c r="AT24" s="21"/>
    </row>
    <row x14ac:dyDescent="0.25" r="25" customHeight="1" ht="18.75">
      <c r="A25" s="21"/>
      <c r="B25" s="21"/>
      <c r="C25" s="21"/>
      <c r="D25" s="21"/>
      <c r="E25" s="21"/>
      <c r="F25" s="21"/>
      <c r="G25" s="21"/>
      <c r="H25" s="53" t="s">
        <v>56</v>
      </c>
      <c r="I25" s="48">
        <v>1.03963</v>
      </c>
      <c r="J25" s="49">
        <v>0.14975</v>
      </c>
      <c r="K25" s="52">
        <v>4.05432</v>
      </c>
      <c r="L25" s="48">
        <v>2.59027</v>
      </c>
      <c r="M25" s="17">
        <f>LN(I25)</f>
      </c>
      <c r="N25" s="17">
        <f>LN(J25)</f>
      </c>
      <c r="O25" s="17">
        <f>LN(K25)</f>
      </c>
      <c r="P25" s="17">
        <f>LN(L25)</f>
      </c>
      <c r="Q25" s="28">
        <v>5</v>
      </c>
      <c r="R25" s="28">
        <v>1</v>
      </c>
      <c r="S25" s="28">
        <v>0</v>
      </c>
      <c r="T25" s="28">
        <v>1</v>
      </c>
      <c r="U25" s="28">
        <f>(84+75+69+67)/5</f>
      </c>
      <c r="V25" s="17">
        <v>46.5</v>
      </c>
      <c r="W25" s="28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0</v>
      </c>
      <c r="AC25" s="28">
        <v>1000</v>
      </c>
      <c r="AD25" s="28">
        <v>461</v>
      </c>
      <c r="AE25" s="28">
        <v>1000</v>
      </c>
      <c r="AF25" s="28">
        <v>1000</v>
      </c>
      <c r="AG25" s="28">
        <v>0</v>
      </c>
      <c r="AH25" s="28">
        <v>706</v>
      </c>
      <c r="AI25" s="28">
        <v>1</v>
      </c>
      <c r="AJ25" s="28">
        <v>1</v>
      </c>
      <c r="AK25" s="28">
        <v>3</v>
      </c>
      <c r="AL25" s="28">
        <v>1</v>
      </c>
      <c r="AM25" s="28">
        <v>0</v>
      </c>
      <c r="AN25" s="28">
        <v>1</v>
      </c>
      <c r="AO25" s="28">
        <v>1</v>
      </c>
      <c r="AP25" s="17">
        <v>245.57</v>
      </c>
      <c r="AQ25" s="28">
        <v>1</v>
      </c>
      <c r="AR25" s="28">
        <v>869</v>
      </c>
      <c r="AS25" s="15" t="s">
        <v>56</v>
      </c>
      <c r="AT25" s="21"/>
    </row>
    <row x14ac:dyDescent="0.25" r="26" customHeight="1" ht="18.75">
      <c r="A26" s="21"/>
      <c r="B26" s="21"/>
      <c r="C26" s="21"/>
      <c r="D26" s="21"/>
      <c r="E26" s="21"/>
      <c r="F26" s="21"/>
      <c r="G26" s="21"/>
      <c r="H26" s="53" t="s">
        <v>57</v>
      </c>
      <c r="I26" s="48">
        <v>0.35073</v>
      </c>
      <c r="J26" s="48">
        <v>0.26035</v>
      </c>
      <c r="K26" s="48">
        <v>3.06791</v>
      </c>
      <c r="L26" s="48">
        <v>0.49578</v>
      </c>
      <c r="M26" s="17">
        <f>LN(I26)</f>
      </c>
      <c r="N26" s="17">
        <f>LN(J26)</f>
      </c>
      <c r="O26" s="17">
        <f>LN(K26)</f>
      </c>
      <c r="P26" s="17">
        <f>LN(L26)</f>
      </c>
      <c r="Q26" s="28">
        <v>21</v>
      </c>
      <c r="R26" s="28">
        <v>9</v>
      </c>
      <c r="S26" s="28">
        <v>4</v>
      </c>
      <c r="T26" s="28">
        <v>4</v>
      </c>
      <c r="U26" s="17">
        <f>(162+179+290+164+234)/5</f>
      </c>
      <c r="V26" s="17">
        <v>52.6</v>
      </c>
      <c r="W26" s="17">
        <v>52.6</v>
      </c>
      <c r="X26" s="66">
        <v>0</v>
      </c>
      <c r="Y26" s="66">
        <v>0</v>
      </c>
      <c r="Z26" s="66">
        <v>0</v>
      </c>
      <c r="AA26" s="66">
        <v>0</v>
      </c>
      <c r="AB26" s="66">
        <v>0</v>
      </c>
      <c r="AC26" s="28">
        <v>607</v>
      </c>
      <c r="AD26" s="28">
        <v>289</v>
      </c>
      <c r="AE26" s="28">
        <v>439</v>
      </c>
      <c r="AF26" s="28">
        <v>951</v>
      </c>
      <c r="AG26" s="28">
        <v>0</v>
      </c>
      <c r="AH26" s="17">
        <v>818.5</v>
      </c>
      <c r="AI26" s="28">
        <v>2</v>
      </c>
      <c r="AJ26" s="28">
        <v>3</v>
      </c>
      <c r="AK26" s="28">
        <v>5</v>
      </c>
      <c r="AL26" s="28">
        <v>2</v>
      </c>
      <c r="AM26" s="28">
        <v>0</v>
      </c>
      <c r="AN26" s="28">
        <v>5</v>
      </c>
      <c r="AO26" s="28">
        <v>3</v>
      </c>
      <c r="AP26" s="17">
        <v>483.65</v>
      </c>
      <c r="AQ26" s="28">
        <v>3</v>
      </c>
      <c r="AR26" s="28">
        <v>711</v>
      </c>
      <c r="AS26" s="15" t="s">
        <v>57</v>
      </c>
      <c r="AT26" s="21"/>
    </row>
    <row x14ac:dyDescent="0.25" r="27" customHeight="1" ht="18.75">
      <c r="A27" s="21"/>
      <c r="B27" s="21"/>
      <c r="C27" s="21"/>
      <c r="D27" s="21"/>
      <c r="E27" s="21"/>
      <c r="F27" s="21"/>
      <c r="G27" s="21"/>
      <c r="H27" s="53" t="s">
        <v>58</v>
      </c>
      <c r="I27" s="48">
        <v>0.39624</v>
      </c>
      <c r="J27" s="49">
        <v>0.00104</v>
      </c>
      <c r="K27" s="48">
        <v>3.78548</v>
      </c>
      <c r="L27" s="48">
        <v>0.35763</v>
      </c>
      <c r="M27" s="17">
        <f>LN(I27)</f>
      </c>
      <c r="N27" s="17">
        <f>LN(J27)</f>
      </c>
      <c r="O27" s="17">
        <f>LN(K27)</f>
      </c>
      <c r="P27" s="17">
        <f>LN(L27)</f>
      </c>
      <c r="Q27" s="28">
        <v>3</v>
      </c>
      <c r="R27" s="28">
        <v>2</v>
      </c>
      <c r="S27" s="28">
        <v>2</v>
      </c>
      <c r="T27" s="28">
        <v>1</v>
      </c>
      <c r="U27" s="17">
        <f>(223+258+235+208+159)/5</f>
      </c>
      <c r="V27" s="17">
        <v>40.6</v>
      </c>
      <c r="W27" s="17">
        <v>40.6</v>
      </c>
      <c r="X27" s="66">
        <v>0</v>
      </c>
      <c r="Y27" s="66">
        <v>0</v>
      </c>
      <c r="Z27" s="66">
        <v>0</v>
      </c>
      <c r="AA27" s="66">
        <v>0</v>
      </c>
      <c r="AB27" s="66">
        <v>0</v>
      </c>
      <c r="AC27" s="28">
        <v>55</v>
      </c>
      <c r="AD27" s="28">
        <v>873</v>
      </c>
      <c r="AE27" s="28">
        <v>102</v>
      </c>
      <c r="AF27" s="17">
        <v>430.5</v>
      </c>
      <c r="AG27" s="28">
        <v>0</v>
      </c>
      <c r="AH27" s="28">
        <v>1000</v>
      </c>
      <c r="AI27" s="28">
        <v>2</v>
      </c>
      <c r="AJ27" s="28">
        <v>2</v>
      </c>
      <c r="AK27" s="28">
        <v>1</v>
      </c>
      <c r="AL27" s="28">
        <v>2</v>
      </c>
      <c r="AM27" s="28">
        <v>0</v>
      </c>
      <c r="AN27" s="28">
        <v>3</v>
      </c>
      <c r="AO27" s="28">
        <v>1</v>
      </c>
      <c r="AP27" s="17">
        <v>3062.44</v>
      </c>
      <c r="AQ27" s="28">
        <v>1</v>
      </c>
      <c r="AR27" s="28">
        <v>1000</v>
      </c>
      <c r="AS27" s="15" t="s">
        <v>58</v>
      </c>
      <c r="AT27" s="21"/>
    </row>
    <row x14ac:dyDescent="0.25" r="28" customHeight="1" ht="18.75">
      <c r="A28" s="21"/>
      <c r="B28" s="21"/>
      <c r="C28" s="21"/>
      <c r="D28" s="21"/>
      <c r="E28" s="21"/>
      <c r="F28" s="21"/>
      <c r="G28" s="21"/>
      <c r="H28" s="53" t="s">
        <v>59</v>
      </c>
      <c r="I28" s="48">
        <v>0.48934</v>
      </c>
      <c r="J28" s="49">
        <v>0.07671</v>
      </c>
      <c r="K28" s="48">
        <v>2.33272</v>
      </c>
      <c r="L28" s="49">
        <v>0.12718</v>
      </c>
      <c r="M28" s="17">
        <f>LN(I28)</f>
      </c>
      <c r="N28" s="17">
        <f>LN(J28)</f>
      </c>
      <c r="O28" s="17">
        <f>LN(K28)</f>
      </c>
      <c r="P28" s="17">
        <f>LN(L28)</f>
      </c>
      <c r="Q28" s="28">
        <v>16</v>
      </c>
      <c r="R28" s="28">
        <v>9</v>
      </c>
      <c r="S28" s="28">
        <v>3</v>
      </c>
      <c r="T28" s="28">
        <v>2</v>
      </c>
      <c r="U28" s="17">
        <f>(262+213+286+182+148)/5</f>
      </c>
      <c r="V28" s="17">
        <v>50.5</v>
      </c>
      <c r="W28" s="17">
        <v>50.5</v>
      </c>
      <c r="X28" s="66">
        <v>0</v>
      </c>
      <c r="Y28" s="66">
        <v>0</v>
      </c>
      <c r="Z28" s="66">
        <v>0</v>
      </c>
      <c r="AA28" s="66">
        <v>0</v>
      </c>
      <c r="AB28" s="66">
        <v>0</v>
      </c>
      <c r="AC28" s="28">
        <v>291</v>
      </c>
      <c r="AD28" s="28">
        <v>357</v>
      </c>
      <c r="AE28" s="28">
        <v>793</v>
      </c>
      <c r="AF28" s="28">
        <v>1000</v>
      </c>
      <c r="AG28" s="28">
        <v>85</v>
      </c>
      <c r="AH28" s="28">
        <v>1000</v>
      </c>
      <c r="AI28" s="28">
        <v>2</v>
      </c>
      <c r="AJ28" s="28">
        <v>2</v>
      </c>
      <c r="AK28" s="28">
        <v>2</v>
      </c>
      <c r="AL28" s="28">
        <v>3</v>
      </c>
      <c r="AM28" s="28">
        <v>2</v>
      </c>
      <c r="AN28" s="28">
        <v>2</v>
      </c>
      <c r="AO28" s="28">
        <v>2</v>
      </c>
      <c r="AP28" s="17">
        <v>1139.82</v>
      </c>
      <c r="AQ28" s="28">
        <v>1</v>
      </c>
      <c r="AR28" s="28">
        <v>653</v>
      </c>
      <c r="AS28" s="15" t="s">
        <v>59</v>
      </c>
      <c r="AT28" s="21"/>
    </row>
    <row x14ac:dyDescent="0.25" r="29" customHeight="1" ht="18.75">
      <c r="A29" s="21"/>
      <c r="B29" s="21"/>
      <c r="C29" s="21"/>
      <c r="D29" s="21"/>
      <c r="E29" s="21"/>
      <c r="F29" s="21"/>
      <c r="G29" s="21"/>
      <c r="H29" s="53" t="s">
        <v>60</v>
      </c>
      <c r="I29" s="49">
        <v>0.034</v>
      </c>
      <c r="J29" s="49">
        <v>0.00243</v>
      </c>
      <c r="K29" s="52">
        <v>6.37584</v>
      </c>
      <c r="L29" s="49">
        <v>0.21024</v>
      </c>
      <c r="M29" s="17">
        <f>LN(I29)</f>
      </c>
      <c r="N29" s="17">
        <f>LN(J29)</f>
      </c>
      <c r="O29" s="17">
        <f>LN(K29)</f>
      </c>
      <c r="P29" s="17">
        <f>LN(L29)</f>
      </c>
      <c r="Q29" s="28">
        <v>10</v>
      </c>
      <c r="R29" s="28">
        <v>3</v>
      </c>
      <c r="S29" s="28">
        <v>3</v>
      </c>
      <c r="T29" s="28">
        <v>0</v>
      </c>
      <c r="U29" s="28">
        <v>0</v>
      </c>
      <c r="V29" s="17">
        <v>45.9</v>
      </c>
      <c r="W29" s="17">
        <v>45.9</v>
      </c>
      <c r="X29" s="66">
        <v>0</v>
      </c>
      <c r="Y29" s="66">
        <v>0</v>
      </c>
      <c r="Z29" s="66">
        <v>0</v>
      </c>
      <c r="AA29" s="66">
        <v>0</v>
      </c>
      <c r="AB29" s="66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432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1</v>
      </c>
      <c r="AO29" s="28">
        <v>1</v>
      </c>
      <c r="AP29" s="17">
        <v>61.87</v>
      </c>
      <c r="AQ29" s="28">
        <v>0</v>
      </c>
      <c r="AR29" s="28">
        <v>0</v>
      </c>
      <c r="AS29" s="15" t="s">
        <v>60</v>
      </c>
      <c r="AT29" s="21"/>
    </row>
    <row x14ac:dyDescent="0.25" r="30" customHeight="1" ht="39.75" customFormat="1" s="1">
      <c r="A30" s="3"/>
      <c r="B30" s="3"/>
      <c r="C30" s="3"/>
      <c r="D30" s="3"/>
      <c r="E30" s="3"/>
      <c r="F30" s="3"/>
      <c r="G30" s="3"/>
      <c r="H30" s="47"/>
      <c r="I30" s="4"/>
      <c r="J30" s="4"/>
      <c r="K30" s="4"/>
      <c r="L30" s="41"/>
      <c r="M30" s="4"/>
      <c r="N30" s="4"/>
      <c r="O30" s="4"/>
      <c r="P30" s="4"/>
      <c r="Q30" s="7" t="s">
        <v>14</v>
      </c>
      <c r="R30" s="7" t="s">
        <v>15</v>
      </c>
      <c r="S30" s="7" t="s">
        <v>16</v>
      </c>
      <c r="T30" s="7" t="s">
        <v>83</v>
      </c>
      <c r="U30" s="7" t="s">
        <v>84</v>
      </c>
      <c r="V30" s="6" t="s">
        <v>19</v>
      </c>
      <c r="W30" s="6" t="s">
        <v>20</v>
      </c>
      <c r="X30" s="59" t="s">
        <v>85</v>
      </c>
      <c r="Y30" s="59" t="s">
        <v>86</v>
      </c>
      <c r="Z30" s="59" t="s">
        <v>87</v>
      </c>
      <c r="AA30" s="59" t="s">
        <v>88</v>
      </c>
      <c r="AB30" s="59" t="s">
        <v>89</v>
      </c>
      <c r="AC30" s="8" t="s">
        <v>21</v>
      </c>
      <c r="AD30" s="8" t="s">
        <v>22</v>
      </c>
      <c r="AE30" s="8" t="s">
        <v>90</v>
      </c>
      <c r="AF30" s="8" t="s">
        <v>23</v>
      </c>
      <c r="AG30" s="8" t="s">
        <v>91</v>
      </c>
      <c r="AH30" s="8" t="s">
        <v>24</v>
      </c>
      <c r="AI30" s="9" t="s">
        <v>25</v>
      </c>
      <c r="AJ30" s="9" t="s">
        <v>26</v>
      </c>
      <c r="AK30" s="9" t="s">
        <v>92</v>
      </c>
      <c r="AL30" s="9" t="s">
        <v>27</v>
      </c>
      <c r="AM30" s="9" t="s">
        <v>93</v>
      </c>
      <c r="AN30" s="9" t="s">
        <v>28</v>
      </c>
      <c r="AO30" s="9" t="s">
        <v>29</v>
      </c>
      <c r="AP30" s="60" t="s">
        <v>30</v>
      </c>
      <c r="AQ30" s="61" t="s">
        <v>31</v>
      </c>
      <c r="AR30" s="62" t="s">
        <v>32</v>
      </c>
      <c r="AS30" s="15"/>
      <c r="AT30" s="3"/>
    </row>
    <row x14ac:dyDescent="0.25" r="31" customHeight="1" ht="27" customFormat="1" s="1">
      <c r="A31" s="3"/>
      <c r="B31" s="3"/>
      <c r="C31" s="3"/>
      <c r="D31" s="3"/>
      <c r="E31" s="3"/>
      <c r="F31" s="3"/>
      <c r="G31" s="3"/>
      <c r="H31" s="47" t="s">
        <v>74</v>
      </c>
      <c r="I31" s="4" t="s">
        <v>75</v>
      </c>
      <c r="J31" s="4" t="s">
        <v>76</v>
      </c>
      <c r="K31" s="4" t="s">
        <v>77</v>
      </c>
      <c r="L31" s="41" t="s">
        <v>94</v>
      </c>
      <c r="M31" s="4" t="s">
        <v>79</v>
      </c>
      <c r="N31" s="4" t="s">
        <v>95</v>
      </c>
      <c r="O31" s="4" t="s">
        <v>81</v>
      </c>
      <c r="P31" s="4"/>
      <c r="Q31" s="2"/>
      <c r="R31" s="2"/>
      <c r="S31" s="2"/>
      <c r="T31" s="2"/>
      <c r="U31" s="2"/>
      <c r="V31" s="4"/>
      <c r="W31" s="4"/>
      <c r="X31" s="4"/>
      <c r="Y31" s="4"/>
      <c r="Z31" s="4"/>
      <c r="AA31" s="4"/>
      <c r="AB31" s="4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4"/>
      <c r="AQ31" s="2"/>
      <c r="AR31" s="2"/>
      <c r="AS31" s="15"/>
      <c r="AT31" s="3"/>
    </row>
    <row x14ac:dyDescent="0.25" r="32" customHeight="1" ht="17.25">
      <c r="A32" s="21"/>
      <c r="B32" s="21"/>
      <c r="C32" s="21"/>
      <c r="D32" s="21"/>
      <c r="E32" s="21"/>
      <c r="F32" s="21"/>
      <c r="G32" s="21"/>
      <c r="H32" s="17">
        <v>-0.9801894577243868</v>
      </c>
      <c r="I32" s="17">
        <v>-1.07037474725687</v>
      </c>
      <c r="J32" s="17">
        <v>-1.0932666023433577</v>
      </c>
      <c r="K32" s="17">
        <v>-2.115690674354957</v>
      </c>
      <c r="L32" s="17">
        <v>-0.16318974267792888</v>
      </c>
      <c r="M32" s="17">
        <v>0.5364699784281102</v>
      </c>
      <c r="N32" s="17">
        <v>-0.7250094337087286</v>
      </c>
      <c r="O32" s="17">
        <v>-2.4774147840297047</v>
      </c>
      <c r="P32" s="31"/>
      <c r="Q32" s="29"/>
      <c r="R32" s="29"/>
      <c r="S32" s="29"/>
      <c r="T32" s="29"/>
      <c r="U32" s="29"/>
      <c r="V32" s="31"/>
      <c r="W32" s="31"/>
      <c r="X32" s="31"/>
      <c r="Y32" s="31"/>
      <c r="Z32" s="31"/>
      <c r="AA32" s="31"/>
      <c r="AB32" s="31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31"/>
      <c r="AQ32" s="29"/>
      <c r="AR32" s="29"/>
      <c r="AS32" s="3"/>
      <c r="AT32" s="21"/>
    </row>
    <row x14ac:dyDescent="0.25" r="33" customHeight="1" ht="16.5">
      <c r="A33" s="21"/>
      <c r="B33" s="21"/>
      <c r="C33" s="21"/>
      <c r="D33" s="21"/>
      <c r="E33" s="21"/>
      <c r="F33" s="21"/>
      <c r="G33" s="21"/>
      <c r="H33" s="17">
        <v>-0.012487647119282073</v>
      </c>
      <c r="I33" s="17">
        <v>-1.2952843227765272</v>
      </c>
      <c r="J33" s="17">
        <v>-1.119723571881036</v>
      </c>
      <c r="K33" s="17">
        <v>-1.0602188406812398</v>
      </c>
      <c r="L33" s="17">
        <v>1.4923893569810829</v>
      </c>
      <c r="M33" s="17">
        <v>0.7715423779873188</v>
      </c>
      <c r="N33" s="17">
        <v>-1.3304056418899897</v>
      </c>
      <c r="O33" s="17">
        <v>-1.0610853167773884</v>
      </c>
      <c r="P33" s="31"/>
      <c r="Q33" s="29"/>
      <c r="R33" s="29"/>
      <c r="S33" s="29"/>
      <c r="T33" s="29"/>
      <c r="U33" s="29"/>
      <c r="V33" s="31"/>
      <c r="W33" s="31"/>
      <c r="X33" s="31"/>
      <c r="Y33" s="31"/>
      <c r="Z33" s="31"/>
      <c r="AA33" s="31"/>
      <c r="AB33" s="31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31"/>
      <c r="AQ33" s="29"/>
      <c r="AR33" s="29"/>
      <c r="AS33" s="3"/>
      <c r="AT33" s="21"/>
    </row>
    <row x14ac:dyDescent="0.25" r="34" customHeight="1" ht="16.5">
      <c r="A34" s="21"/>
      <c r="B34" s="21"/>
      <c r="C34" s="21"/>
      <c r="D34" s="21"/>
      <c r="E34" s="21"/>
      <c r="F34" s="21"/>
      <c r="G34" s="21"/>
      <c r="H34" s="17">
        <v>-0.4829672956375943</v>
      </c>
      <c r="I34" s="17">
        <v>-0.544830629068676</v>
      </c>
      <c r="J34" s="17">
        <v>-0.3172344747138052</v>
      </c>
      <c r="K34" s="17">
        <v>-1.0941622049944983</v>
      </c>
      <c r="L34" s="17">
        <v>0.44734254545263674</v>
      </c>
      <c r="M34" s="17">
        <v>0.6580172885762071</v>
      </c>
      <c r="N34" s="17">
        <v>-0.48385917553617647</v>
      </c>
      <c r="O34" s="17">
        <v>-1.2506452125243666</v>
      </c>
      <c r="P34" s="31"/>
      <c r="Q34" s="29"/>
      <c r="R34" s="29"/>
      <c r="S34" s="29"/>
      <c r="T34" s="29"/>
      <c r="U34" s="29"/>
      <c r="V34" s="31"/>
      <c r="W34" s="31"/>
      <c r="X34" s="31"/>
      <c r="Y34" s="31"/>
      <c r="Z34" s="31"/>
      <c r="AA34" s="31"/>
      <c r="AB34" s="31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31"/>
      <c r="AQ34" s="29"/>
      <c r="AR34" s="29"/>
      <c r="AS34" s="3"/>
      <c r="AT34" s="21"/>
    </row>
    <row x14ac:dyDescent="0.25" r="35" customHeight="1" ht="16.5">
      <c r="A35" s="21"/>
      <c r="B35" s="21"/>
      <c r="C35" s="21"/>
      <c r="D35" s="21"/>
      <c r="E35" s="21"/>
      <c r="F35" s="21"/>
      <c r="G35" s="21"/>
      <c r="H35" s="17">
        <v>0.32231535634613157</v>
      </c>
      <c r="I35" s="17">
        <v>0.24224004700519813</v>
      </c>
      <c r="J35" s="17">
        <v>-6.645391014514646</v>
      </c>
      <c r="K35" s="17">
        <v>0.3320625281325128</v>
      </c>
      <c r="L35" s="17">
        <v>0.8879859030791702</v>
      </c>
      <c r="M35" s="17">
        <v>1.0695816136095173</v>
      </c>
      <c r="N35" s="17">
        <v>-1.2182745890367956</v>
      </c>
      <c r="O35" s="17">
        <v>-0.2594963807800081</v>
      </c>
      <c r="P35" s="31"/>
      <c r="Q35" s="29"/>
      <c r="R35" s="29"/>
      <c r="S35" s="29"/>
      <c r="T35" s="29"/>
      <c r="U35" s="29"/>
      <c r="V35" s="31"/>
      <c r="W35" s="31"/>
      <c r="X35" s="31"/>
      <c r="Y35" s="31"/>
      <c r="Z35" s="31"/>
      <c r="AA35" s="31"/>
      <c r="AB35" s="31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31"/>
      <c r="AQ35" s="29"/>
      <c r="AR35" s="29"/>
      <c r="AS35" s="3"/>
      <c r="AT35" s="21"/>
    </row>
    <row x14ac:dyDescent="0.25" r="36" customHeight="1" ht="16.5">
      <c r="A36" s="21"/>
      <c r="B36" s="21"/>
      <c r="C36" s="21"/>
      <c r="D36" s="21"/>
      <c r="E36" s="21"/>
      <c r="F36" s="21"/>
      <c r="G36" s="21"/>
      <c r="H36" s="17">
        <v>-0.9468788136421787</v>
      </c>
      <c r="I36" s="17">
        <v>0.03886488062162522</v>
      </c>
      <c r="J36" s="17">
        <v>-1.0464848422820927</v>
      </c>
      <c r="K36" s="17">
        <v>-1.8987880419865784</v>
      </c>
      <c r="L36" s="17">
        <v>0.5187104566094191</v>
      </c>
      <c r="M36" s="17">
        <v>1.3997829793004453</v>
      </c>
      <c r="N36" s="17">
        <v>-0.7161292569518694</v>
      </c>
      <c r="O36" s="17">
        <v>0.9517621173823416</v>
      </c>
      <c r="P36" s="31"/>
      <c r="Q36" s="29"/>
      <c r="R36" s="29"/>
      <c r="S36" s="29"/>
      <c r="T36" s="29"/>
      <c r="U36" s="29"/>
      <c r="V36" s="31"/>
      <c r="W36" s="31"/>
      <c r="X36" s="31"/>
      <c r="Y36" s="31"/>
      <c r="Z36" s="31"/>
      <c r="AA36" s="31"/>
      <c r="AB36" s="31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31"/>
      <c r="AQ36" s="29"/>
      <c r="AR36" s="29"/>
      <c r="AS36" s="3"/>
      <c r="AT36" s="21"/>
    </row>
    <row x14ac:dyDescent="0.25" r="37" customHeight="1" ht="16.5">
      <c r="A37" s="21"/>
      <c r="B37" s="21"/>
      <c r="C37" s="21"/>
      <c r="D37" s="21"/>
      <c r="E37" s="21"/>
      <c r="F37" s="21"/>
      <c r="G37" s="21"/>
      <c r="H37" s="17">
        <v>-1.6934175262293754</v>
      </c>
      <c r="I37" s="17">
        <v>-1.0477385822952998</v>
      </c>
      <c r="J37" s="17">
        <v>-1.8963869203100523</v>
      </c>
      <c r="K37" s="17">
        <v>-1.345728399373229</v>
      </c>
      <c r="L37" s="17">
        <v>1.2901082978416034</v>
      </c>
      <c r="M37" s="17">
        <v>1.1209965480030202</v>
      </c>
      <c r="N37" s="17">
        <v>-1.7703111380221854</v>
      </c>
      <c r="O37" s="17">
        <v>-0.701622999040989</v>
      </c>
      <c r="P37" s="31"/>
      <c r="Q37" s="29"/>
      <c r="R37" s="29"/>
      <c r="S37" s="29"/>
      <c r="T37" s="29"/>
      <c r="U37" s="29"/>
      <c r="V37" s="31"/>
      <c r="W37" s="31"/>
      <c r="X37" s="31"/>
      <c r="Y37" s="31"/>
      <c r="Z37" s="31"/>
      <c r="AA37" s="31"/>
      <c r="AB37" s="31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31"/>
      <c r="AQ37" s="29"/>
      <c r="AR37" s="29"/>
      <c r="AS37" s="3"/>
      <c r="AT37" s="21"/>
    </row>
    <row x14ac:dyDescent="0.25" r="38" customHeight="1" ht="16.5">
      <c r="A38" s="21"/>
      <c r="B38" s="21"/>
      <c r="C38" s="21"/>
      <c r="D38" s="21"/>
      <c r="E38" s="21"/>
      <c r="F38" s="21"/>
      <c r="G38" s="21"/>
      <c r="H38" s="17">
        <v>-0.5866273371822726</v>
      </c>
      <c r="I38" s="17">
        <v>-0.9257351907021548</v>
      </c>
      <c r="J38" s="17">
        <v>-3.0290822532355453</v>
      </c>
      <c r="K38" s="17">
        <v>-6.868534565828856</v>
      </c>
      <c r="L38" s="17">
        <v>1.3531485582768634</v>
      </c>
      <c r="M38" s="17">
        <v>1.331172695229344</v>
      </c>
      <c r="N38" s="17">
        <v>-1.7917394694280522</v>
      </c>
      <c r="O38" s="17">
        <v>-1.0282563465841172</v>
      </c>
      <c r="P38" s="31"/>
      <c r="Q38" s="29"/>
      <c r="R38" s="29"/>
      <c r="S38" s="29"/>
      <c r="T38" s="29"/>
      <c r="U38" s="29"/>
      <c r="V38" s="31"/>
      <c r="W38" s="31"/>
      <c r="X38" s="31"/>
      <c r="Y38" s="31"/>
      <c r="Z38" s="31"/>
      <c r="AA38" s="31"/>
      <c r="AB38" s="31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31"/>
      <c r="AQ38" s="29"/>
      <c r="AR38" s="29"/>
      <c r="AS38" s="3"/>
      <c r="AT38" s="21"/>
    </row>
    <row x14ac:dyDescent="0.25" r="39" customHeight="1" ht="16.5">
      <c r="A39" s="21"/>
      <c r="B39" s="21"/>
      <c r="C39" s="21"/>
      <c r="D39" s="21"/>
      <c r="E39" s="21"/>
      <c r="F39" s="21"/>
      <c r="G39" s="21"/>
      <c r="H39" s="17">
        <v>-1.5466978826129145</v>
      </c>
      <c r="I39" s="17">
        <v>-0.7146977345903898</v>
      </c>
      <c r="J39" s="17">
        <v>-0.3207701619740839</v>
      </c>
      <c r="K39" s="17">
        <v>-2.5677232010109323</v>
      </c>
      <c r="L39" s="17">
        <v>1.3355614360119334</v>
      </c>
      <c r="M39" s="17">
        <v>0.8470349686913526</v>
      </c>
      <c r="N39" s="17">
        <v>-0.6024476133133037</v>
      </c>
      <c r="O39" s="17">
        <v>-2.0621518731428754</v>
      </c>
      <c r="P39" s="31"/>
      <c r="Q39" s="29"/>
      <c r="R39" s="29"/>
      <c r="S39" s="29"/>
      <c r="T39" s="29"/>
      <c r="U39" s="29"/>
      <c r="V39" s="31"/>
      <c r="W39" s="31"/>
      <c r="X39" s="31"/>
      <c r="Y39" s="31"/>
      <c r="Z39" s="31"/>
      <c r="AA39" s="31"/>
      <c r="AB39" s="31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31"/>
      <c r="AQ39" s="29"/>
      <c r="AR39" s="29"/>
      <c r="AS39" s="3"/>
      <c r="AT39" s="21"/>
    </row>
    <row x14ac:dyDescent="0.25" r="40" customHeight="1" ht="16.5">
      <c r="A40" s="21"/>
      <c r="B40" s="21"/>
      <c r="C40" s="21"/>
      <c r="D40" s="21"/>
      <c r="E40" s="21"/>
      <c r="F40" s="21"/>
      <c r="G40" s="21"/>
      <c r="H40" s="17">
        <v>-0.6861318456660404</v>
      </c>
      <c r="I40" s="17">
        <v>-3.3813947543659757</v>
      </c>
      <c r="J40" s="17">
        <v>-2.8371912454254398</v>
      </c>
      <c r="K40" s="17">
        <v>-6.01986402162968</v>
      </c>
      <c r="L40" s="17">
        <v>0.830074674897339</v>
      </c>
      <c r="M40" s="17">
        <v>1.852515847070166</v>
      </c>
      <c r="N40" s="17">
        <v>-1.6384548615045929</v>
      </c>
      <c r="O40" s="17">
        <v>-1.5595055436858913</v>
      </c>
      <c r="P40" s="31"/>
      <c r="Q40" s="29"/>
      <c r="R40" s="29"/>
      <c r="S40" s="29"/>
      <c r="T40" s="29"/>
      <c r="U40" s="29"/>
      <c r="V40" s="31"/>
      <c r="W40" s="31"/>
      <c r="X40" s="31"/>
      <c r="Y40" s="31"/>
      <c r="Z40" s="31"/>
      <c r="AA40" s="31"/>
      <c r="AB40" s="31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31"/>
      <c r="AQ40" s="29"/>
      <c r="AR40" s="29"/>
      <c r="AS40" s="3"/>
      <c r="AT40" s="21"/>
    </row>
    <row x14ac:dyDescent="0.25" r="41" customHeight="1" ht="16.5">
      <c r="A41" s="21"/>
      <c r="B41" s="21"/>
      <c r="C41" s="21"/>
      <c r="D41" s="21"/>
      <c r="E41" s="21"/>
      <c r="F41" s="21"/>
      <c r="G41" s="21"/>
      <c r="H41" s="17">
        <v>-0.8349642332283868</v>
      </c>
      <c r="I41" s="31"/>
      <c r="J41" s="17">
        <v>-1.1668697163744337</v>
      </c>
      <c r="K41" s="31"/>
      <c r="L41" s="17">
        <v>0.5562099948005899</v>
      </c>
      <c r="M41" s="31"/>
      <c r="N41" s="17">
        <v>-0.7973528078026414</v>
      </c>
      <c r="O41" s="31"/>
      <c r="P41" s="31"/>
      <c r="Q41" s="29"/>
      <c r="R41" s="29"/>
      <c r="S41" s="29"/>
      <c r="T41" s="29"/>
      <c r="U41" s="29"/>
      <c r="V41" s="31"/>
      <c r="W41" s="31"/>
      <c r="X41" s="31"/>
      <c r="Y41" s="31"/>
      <c r="Z41" s="31"/>
      <c r="AA41" s="31"/>
      <c r="AB41" s="31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31"/>
      <c r="AQ41" s="29"/>
      <c r="AR41" s="29"/>
      <c r="AS41" s="3"/>
      <c r="AT41" s="21"/>
    </row>
    <row x14ac:dyDescent="0.25" r="42" customHeight="1" ht="16.5">
      <c r="A42" s="21"/>
      <c r="B42" s="21"/>
      <c r="C42" s="21"/>
      <c r="D42" s="21"/>
      <c r="E42" s="21"/>
      <c r="F42" s="21"/>
      <c r="G42" s="21"/>
      <c r="H42" s="17">
        <v>-1.4232488441136566</v>
      </c>
      <c r="I42" s="31"/>
      <c r="J42" s="17">
        <v>-1.8354606044991537</v>
      </c>
      <c r="K42" s="31"/>
      <c r="L42" s="17">
        <v>-0.5093267476422548</v>
      </c>
      <c r="M42" s="31"/>
      <c r="N42" s="17">
        <v>-1.843958436771649</v>
      </c>
      <c r="O42" s="31"/>
      <c r="P42" s="31"/>
      <c r="Q42" s="29"/>
      <c r="R42" s="29"/>
      <c r="S42" s="29"/>
      <c r="T42" s="29"/>
      <c r="U42" s="29"/>
      <c r="V42" s="31"/>
      <c r="W42" s="31"/>
      <c r="X42" s="31"/>
      <c r="Y42" s="31"/>
      <c r="Z42" s="31"/>
      <c r="AA42" s="31"/>
      <c r="AB42" s="31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31"/>
      <c r="AQ42" s="29"/>
      <c r="AR42" s="29"/>
      <c r="AS42" s="3"/>
      <c r="AT42" s="21"/>
    </row>
    <row x14ac:dyDescent="0.25" r="43" customHeight="1" ht="16.5">
      <c r="A43" s="21"/>
      <c r="B43" s="21"/>
      <c r="C43" s="21"/>
      <c r="D43" s="21"/>
      <c r="E43" s="21"/>
      <c r="F43" s="21"/>
      <c r="G43" s="21"/>
      <c r="H43" s="17">
        <v>-2.545931351625775</v>
      </c>
      <c r="I43" s="31"/>
      <c r="J43" s="17">
        <v>-1.1813636614650773</v>
      </c>
      <c r="K43" s="31"/>
      <c r="L43" s="17">
        <v>1.2640165515850534</v>
      </c>
      <c r="M43" s="31"/>
      <c r="N43" s="17">
        <v>-1.4643856407349614</v>
      </c>
      <c r="O43" s="31"/>
      <c r="P43" s="31"/>
      <c r="Q43" s="29"/>
      <c r="R43" s="29"/>
      <c r="S43" s="29"/>
      <c r="T43" s="29"/>
      <c r="U43" s="29"/>
      <c r="V43" s="31"/>
      <c r="W43" s="31"/>
      <c r="X43" s="31"/>
      <c r="Y43" s="31"/>
      <c r="Z43" s="31"/>
      <c r="AA43" s="31"/>
      <c r="AB43" s="31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31"/>
      <c r="AQ43" s="29"/>
      <c r="AR43" s="29"/>
      <c r="AS43" s="3"/>
      <c r="AT43" s="21"/>
    </row>
    <row x14ac:dyDescent="0.25" r="44" customHeight="1" ht="16.5">
      <c r="A44" s="21"/>
      <c r="B44" s="21"/>
      <c r="C44" s="21"/>
      <c r="D44" s="21"/>
      <c r="E44" s="21"/>
      <c r="F44" s="21"/>
      <c r="G44" s="21"/>
      <c r="H44" s="17">
        <v>-0.22438181764962672</v>
      </c>
      <c r="I44" s="31"/>
      <c r="J44" s="17">
        <v>-0.7032177186377123</v>
      </c>
      <c r="K44" s="31"/>
      <c r="L44" s="17">
        <v>0.5550223973081461</v>
      </c>
      <c r="M44" s="31"/>
      <c r="N44" s="17">
        <v>-0.25641599057778225</v>
      </c>
      <c r="O44" s="31"/>
      <c r="P44" s="31"/>
      <c r="Q44" s="29"/>
      <c r="R44" s="29"/>
      <c r="S44" s="29"/>
      <c r="T44" s="29"/>
      <c r="U44" s="29"/>
      <c r="V44" s="31"/>
      <c r="W44" s="31"/>
      <c r="X44" s="31"/>
      <c r="Y44" s="31"/>
      <c r="Z44" s="31"/>
      <c r="AA44" s="31"/>
      <c r="AB44" s="31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31"/>
      <c r="AQ44" s="29"/>
      <c r="AR44" s="29"/>
      <c r="AS44" s="3"/>
      <c r="AT44" s="21"/>
    </row>
    <row x14ac:dyDescent="0.25" r="45" customHeight="1" ht="16.5">
      <c r="A45" s="21"/>
      <c r="B45" s="21"/>
      <c r="C45" s="21"/>
      <c r="D45" s="21"/>
      <c r="E45" s="21"/>
      <c r="F45" s="21"/>
      <c r="G45" s="21"/>
      <c r="H45" s="17">
        <v>0.1384654501182524</v>
      </c>
      <c r="I45" s="31"/>
      <c r="J45" s="17">
        <v>-1.7937815121796934</v>
      </c>
      <c r="K45" s="31"/>
      <c r="L45" s="17">
        <v>0.8505055673328341</v>
      </c>
      <c r="M45" s="31"/>
      <c r="N45" s="17">
        <v>-0.45569055179863915</v>
      </c>
      <c r="O45" s="31"/>
      <c r="P45" s="31"/>
      <c r="Q45" s="29"/>
      <c r="R45" s="29"/>
      <c r="S45" s="29"/>
      <c r="T45" s="29"/>
      <c r="U45" s="29"/>
      <c r="V45" s="31"/>
      <c r="W45" s="31"/>
      <c r="X45" s="31"/>
      <c r="Y45" s="31"/>
      <c r="Z45" s="31"/>
      <c r="AA45" s="31"/>
      <c r="AB45" s="31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31"/>
      <c r="AQ45" s="29"/>
      <c r="AR45" s="29"/>
      <c r="AS45" s="3"/>
      <c r="AT45" s="21"/>
    </row>
    <row x14ac:dyDescent="0.25" r="46" customHeight="1" ht="16.5">
      <c r="A46" s="21"/>
      <c r="B46" s="21"/>
      <c r="C46" s="21"/>
      <c r="D46" s="21"/>
      <c r="E46" s="21"/>
      <c r="F46" s="21"/>
      <c r="G46" s="21"/>
      <c r="H46" s="17">
        <v>-1.7150762444570973</v>
      </c>
      <c r="I46" s="31"/>
      <c r="J46" s="17">
        <v>-3.2906403910975115</v>
      </c>
      <c r="K46" s="31"/>
      <c r="L46" s="17">
        <v>-0.34649833034431476</v>
      </c>
      <c r="M46" s="31"/>
      <c r="N46" s="17">
        <v>-1.9106105750683804</v>
      </c>
      <c r="O46" s="31"/>
      <c r="P46" s="31"/>
      <c r="Q46" s="29"/>
      <c r="R46" s="29"/>
      <c r="S46" s="29"/>
      <c r="T46" s="29"/>
      <c r="U46" s="29"/>
      <c r="V46" s="31"/>
      <c r="W46" s="31"/>
      <c r="X46" s="31"/>
      <c r="Y46" s="31"/>
      <c r="Z46" s="31"/>
      <c r="AA46" s="31"/>
      <c r="AB46" s="31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31"/>
      <c r="AQ46" s="29"/>
      <c r="AR46" s="29"/>
      <c r="AS46" s="3"/>
      <c r="AT46" s="21"/>
    </row>
    <row x14ac:dyDescent="0.25" r="47" customHeight="1" ht="16.5">
      <c r="A47" s="21"/>
      <c r="B47" s="21"/>
      <c r="C47" s="21"/>
      <c r="D47" s="21"/>
      <c r="E47" s="21"/>
      <c r="F47" s="21"/>
      <c r="G47" s="21"/>
      <c r="H47" s="17">
        <v>-0.5077470341563932</v>
      </c>
      <c r="I47" s="31"/>
      <c r="J47" s="17">
        <v>-2.0696496392173667</v>
      </c>
      <c r="K47" s="31"/>
      <c r="L47" s="17">
        <v>0.5974839384364542</v>
      </c>
      <c r="M47" s="31"/>
      <c r="N47" s="17">
        <v>-0.835425285819601</v>
      </c>
      <c r="O47" s="31"/>
      <c r="P47" s="31"/>
      <c r="Q47" s="29"/>
      <c r="R47" s="29"/>
      <c r="S47" s="29"/>
      <c r="T47" s="29"/>
      <c r="U47" s="29"/>
      <c r="V47" s="31"/>
      <c r="W47" s="31"/>
      <c r="X47" s="31"/>
      <c r="Y47" s="31"/>
      <c r="Z47" s="31"/>
      <c r="AA47" s="31"/>
      <c r="AB47" s="31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31"/>
      <c r="AQ47" s="29"/>
      <c r="AR47" s="29"/>
      <c r="AS47" s="3"/>
      <c r="AT47" s="21"/>
    </row>
    <row x14ac:dyDescent="0.25" r="48" customHeight="1" ht="16.5">
      <c r="A48" s="21"/>
      <c r="B48" s="21"/>
      <c r="C48" s="21"/>
      <c r="D48" s="21"/>
      <c r="E48" s="21"/>
      <c r="F48" s="21"/>
      <c r="G48" s="21"/>
      <c r="H48" s="17">
        <v>-0.8705528402003013</v>
      </c>
      <c r="I48" s="31"/>
      <c r="J48" s="17">
        <v>-0.9016484551372851</v>
      </c>
      <c r="K48" s="31"/>
      <c r="L48" s="17">
        <v>0.36383028333088296</v>
      </c>
      <c r="M48" s="31"/>
      <c r="N48" s="17">
        <v>-1.0981423990835142</v>
      </c>
      <c r="O48" s="31"/>
      <c r="P48" s="31"/>
      <c r="Q48" s="29"/>
      <c r="R48" s="29"/>
      <c r="S48" s="29"/>
      <c r="T48" s="29"/>
      <c r="U48" s="29"/>
      <c r="V48" s="31"/>
      <c r="W48" s="31"/>
      <c r="X48" s="31"/>
      <c r="Y48" s="31"/>
      <c r="Z48" s="31"/>
      <c r="AA48" s="31"/>
      <c r="AB48" s="31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31"/>
      <c r="AQ48" s="29"/>
      <c r="AR48" s="29"/>
      <c r="AS48" s="3"/>
      <c r="AT48" s="21"/>
    </row>
    <row x14ac:dyDescent="0.25" r="49" customHeight="1" ht="16.5">
      <c r="A49" s="21"/>
      <c r="B49" s="21"/>
      <c r="C49" s="21"/>
      <c r="D49" s="21"/>
      <c r="E49" s="21"/>
      <c r="F49" s="21"/>
      <c r="G49" s="21"/>
      <c r="H49" s="17">
        <v>-0.46735115018071127</v>
      </c>
      <c r="I49" s="31"/>
      <c r="J49" s="17">
        <v>-1.5746500869484366</v>
      </c>
      <c r="K49" s="31"/>
      <c r="L49" s="17">
        <v>1.2278231110567936</v>
      </c>
      <c r="M49" s="31"/>
      <c r="N49" s="17">
        <v>-0.9244237151043441</v>
      </c>
      <c r="O49" s="31"/>
      <c r="P49" s="31"/>
      <c r="Q49" s="29"/>
      <c r="R49" s="29"/>
      <c r="S49" s="29"/>
      <c r="T49" s="29"/>
      <c r="U49" s="29"/>
      <c r="V49" s="31"/>
      <c r="W49" s="31"/>
      <c r="X49" s="31"/>
      <c r="Y49" s="31"/>
      <c r="Z49" s="31"/>
      <c r="AA49" s="31"/>
      <c r="AB49" s="31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31"/>
      <c r="AQ49" s="29"/>
      <c r="AR49" s="29"/>
      <c r="AS49" s="3"/>
      <c r="AT49" s="21"/>
    </row>
    <row x14ac:dyDescent="0.25" r="50" customHeight="1" ht="16.5">
      <c r="A50" s="21"/>
      <c r="B50" s="21"/>
      <c r="C50" s="21"/>
      <c r="D50" s="21"/>
      <c r="E50" s="21"/>
      <c r="F50" s="21"/>
      <c r="G50" s="21"/>
      <c r="H50" s="17">
        <v>-0.5806938782888962</v>
      </c>
      <c r="I50" s="31"/>
      <c r="J50" s="17">
        <v>-1.157184642827177</v>
      </c>
      <c r="K50" s="31"/>
      <c r="L50" s="17">
        <v>0.8563581205632093</v>
      </c>
      <c r="M50" s="31"/>
      <c r="N50" s="17">
        <v>-1.1008147122233096</v>
      </c>
      <c r="O50" s="31"/>
      <c r="P50" s="31"/>
      <c r="Q50" s="29"/>
      <c r="R50" s="29"/>
      <c r="S50" s="29"/>
      <c r="T50" s="29"/>
      <c r="U50" s="29"/>
      <c r="V50" s="31"/>
      <c r="W50" s="31"/>
      <c r="X50" s="31"/>
      <c r="Y50" s="31"/>
      <c r="Z50" s="31"/>
      <c r="AA50" s="31"/>
      <c r="AB50" s="31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31"/>
      <c r="AQ50" s="29"/>
      <c r="AR50" s="29"/>
      <c r="AS50" s="3"/>
      <c r="AT50" s="21"/>
    </row>
    <row x14ac:dyDescent="0.25" r="51" customHeight="1" ht="16.5">
      <c r="A51" s="21"/>
      <c r="B51" s="21"/>
      <c r="C51" s="21"/>
      <c r="D51" s="21"/>
      <c r="E51" s="21"/>
      <c r="F51" s="21"/>
      <c r="G51" s="21"/>
      <c r="H51" s="31"/>
      <c r="I51" s="31"/>
      <c r="J51" s="31"/>
      <c r="K51" s="31"/>
      <c r="L51" s="68"/>
      <c r="M51" s="31"/>
      <c r="N51" s="31"/>
      <c r="O51" s="31"/>
      <c r="P51" s="31"/>
      <c r="Q51" s="29"/>
      <c r="R51" s="29"/>
      <c r="S51" s="29"/>
      <c r="T51" s="29"/>
      <c r="U51" s="29"/>
      <c r="V51" s="31"/>
      <c r="W51" s="31"/>
      <c r="X51" s="31"/>
      <c r="Y51" s="31"/>
      <c r="Z51" s="31"/>
      <c r="AA51" s="31"/>
      <c r="AB51" s="31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31"/>
      <c r="AQ51" s="29"/>
      <c r="AR51" s="29"/>
      <c r="AS51" s="3"/>
      <c r="AT51" s="21"/>
    </row>
    <row x14ac:dyDescent="0.25" r="52" customHeight="1" ht="16.5">
      <c r="A52" s="21"/>
      <c r="B52" s="21"/>
      <c r="C52" s="21"/>
      <c r="D52" s="21"/>
      <c r="E52" s="21"/>
      <c r="F52" s="21"/>
      <c r="G52" s="21"/>
      <c r="H52" s="31"/>
      <c r="I52" s="31"/>
      <c r="J52" s="31"/>
      <c r="K52" s="31"/>
      <c r="L52" s="68"/>
      <c r="M52" s="31"/>
      <c r="N52" s="31"/>
      <c r="O52" s="31"/>
      <c r="P52" s="31"/>
      <c r="Q52" s="29"/>
      <c r="R52" s="29"/>
      <c r="S52" s="29"/>
      <c r="T52" s="29"/>
      <c r="U52" s="29"/>
      <c r="V52" s="31"/>
      <c r="W52" s="31"/>
      <c r="X52" s="31"/>
      <c r="Y52" s="31"/>
      <c r="Z52" s="31"/>
      <c r="AA52" s="31"/>
      <c r="AB52" s="31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31"/>
      <c r="AQ52" s="29"/>
      <c r="AR52" s="29"/>
      <c r="AS52" s="3"/>
      <c r="AT52" s="21"/>
    </row>
    <row x14ac:dyDescent="0.25" r="53" customHeight="1" ht="16.5">
      <c r="A53" s="21"/>
      <c r="B53" s="21"/>
      <c r="C53" s="21"/>
      <c r="D53" s="21"/>
      <c r="E53" s="21"/>
      <c r="F53" s="21"/>
      <c r="G53" s="21"/>
      <c r="H53" s="31"/>
      <c r="I53" s="31"/>
      <c r="J53" s="31"/>
      <c r="K53" s="31"/>
      <c r="L53" s="68"/>
      <c r="M53" s="31"/>
      <c r="N53" s="31"/>
      <c r="O53" s="31"/>
      <c r="P53" s="31"/>
      <c r="Q53" s="29"/>
      <c r="R53" s="29"/>
      <c r="S53" s="29"/>
      <c r="T53" s="29"/>
      <c r="U53" s="29"/>
      <c r="V53" s="31"/>
      <c r="W53" s="31"/>
      <c r="X53" s="31"/>
      <c r="Y53" s="31"/>
      <c r="Z53" s="31"/>
      <c r="AA53" s="31"/>
      <c r="AB53" s="31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31"/>
      <c r="AQ53" s="29"/>
      <c r="AR53" s="29"/>
      <c r="AS53" s="3"/>
      <c r="AT53" s="21"/>
    </row>
    <row x14ac:dyDescent="0.25" r="54" customHeight="1" ht="16.5">
      <c r="A54" s="21"/>
      <c r="B54" s="21"/>
      <c r="C54" s="21"/>
      <c r="D54" s="21"/>
      <c r="E54" s="21"/>
      <c r="F54" s="21"/>
      <c r="G54" s="21"/>
      <c r="H54" s="31"/>
      <c r="I54" s="31"/>
      <c r="J54" s="31"/>
      <c r="K54" s="31"/>
      <c r="L54" s="68"/>
      <c r="M54" s="31"/>
      <c r="N54" s="31"/>
      <c r="O54" s="31"/>
      <c r="P54" s="31"/>
      <c r="Q54" s="29"/>
      <c r="R54" s="29"/>
      <c r="S54" s="29"/>
      <c r="T54" s="29"/>
      <c r="U54" s="29"/>
      <c r="V54" s="31"/>
      <c r="W54" s="31"/>
      <c r="X54" s="31"/>
      <c r="Y54" s="31"/>
      <c r="Z54" s="31"/>
      <c r="AA54" s="31"/>
      <c r="AB54" s="31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31"/>
      <c r="AQ54" s="29"/>
      <c r="AR54" s="29"/>
      <c r="AS54" s="3"/>
      <c r="AT54" s="21"/>
    </row>
    <row x14ac:dyDescent="0.25" r="55" customHeight="1" ht="16.5" customFormat="1" s="1">
      <c r="A55" s="3"/>
      <c r="B55" s="3"/>
      <c r="C55" s="3"/>
      <c r="D55" s="3"/>
      <c r="E55" s="3"/>
      <c r="F55" s="3"/>
      <c r="G55" s="3"/>
      <c r="H55" s="4"/>
      <c r="I55" s="4"/>
      <c r="J55" s="4"/>
      <c r="K55" s="4"/>
      <c r="L55" s="55"/>
      <c r="M55" s="4"/>
      <c r="N55" s="4"/>
      <c r="O55" s="4"/>
      <c r="P55" s="4"/>
      <c r="Q55" s="2"/>
      <c r="R55" s="2"/>
      <c r="S55" s="2"/>
      <c r="T55" s="2"/>
      <c r="U55" s="2"/>
      <c r="V55" s="4"/>
      <c r="W55" s="4"/>
      <c r="X55" s="4"/>
      <c r="Y55" s="4"/>
      <c r="Z55" s="4"/>
      <c r="AA55" s="4"/>
      <c r="AB55" s="4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4"/>
      <c r="AQ55" s="2"/>
      <c r="AR55" s="2"/>
      <c r="AS55" s="3"/>
      <c r="AT55" s="3"/>
    </row>
    <row x14ac:dyDescent="0.25" r="56" customHeight="1" ht="16.5" customFormat="1" s="1">
      <c r="A56" s="3"/>
      <c r="B56" s="3"/>
      <c r="C56" s="3"/>
      <c r="D56" s="3"/>
      <c r="E56" s="3"/>
      <c r="F56" s="3"/>
      <c r="G56" s="3"/>
      <c r="H56" s="4"/>
      <c r="I56" s="4"/>
      <c r="J56" s="4"/>
      <c r="K56" s="4"/>
      <c r="L56" s="57"/>
      <c r="M56" s="4"/>
      <c r="N56" s="4"/>
      <c r="O56" s="4"/>
      <c r="P56" s="4"/>
      <c r="Q56" s="2"/>
      <c r="R56" s="2"/>
      <c r="S56" s="2"/>
      <c r="T56" s="2"/>
      <c r="U56" s="2"/>
      <c r="V56" s="4"/>
      <c r="W56" s="4"/>
      <c r="X56" s="4"/>
      <c r="Y56" s="4"/>
      <c r="Z56" s="4"/>
      <c r="AA56" s="4"/>
      <c r="AB56" s="4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4"/>
      <c r="AQ56" s="2"/>
      <c r="AR56" s="2"/>
      <c r="AS56" s="3"/>
      <c r="AT56" s="3"/>
    </row>
    <row x14ac:dyDescent="0.25" r="57" customHeight="1" ht="16.5" customFormat="1" s="1">
      <c r="A57" s="3"/>
      <c r="B57" s="3"/>
      <c r="C57" s="3"/>
      <c r="D57" s="3"/>
      <c r="E57" s="3"/>
      <c r="F57" s="3"/>
      <c r="G57" s="3"/>
      <c r="H57" s="4"/>
      <c r="I57" s="4"/>
      <c r="J57" s="4"/>
      <c r="K57" s="4"/>
      <c r="L57" s="56"/>
      <c r="M57" s="4"/>
      <c r="N57" s="4"/>
      <c r="O57" s="4"/>
      <c r="P57" s="4"/>
      <c r="Q57" s="2"/>
      <c r="R57" s="2"/>
      <c r="S57" s="2"/>
      <c r="T57" s="2"/>
      <c r="U57" s="2"/>
      <c r="V57" s="4"/>
      <c r="W57" s="4"/>
      <c r="X57" s="4"/>
      <c r="Y57" s="4"/>
      <c r="Z57" s="4"/>
      <c r="AA57" s="4"/>
      <c r="AB57" s="4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4"/>
      <c r="AQ57" s="2"/>
      <c r="AR57" s="2"/>
      <c r="AS57" s="3"/>
      <c r="AT57" s="3"/>
    </row>
    <row x14ac:dyDescent="0.25" r="58" customHeight="1" ht="16.5" customFormat="1" s="1">
      <c r="A58" s="3"/>
      <c r="B58" s="3"/>
      <c r="C58" s="3"/>
      <c r="D58" s="3"/>
      <c r="E58" s="3"/>
      <c r="F58" s="3"/>
      <c r="G58" s="3"/>
      <c r="H58" s="4"/>
      <c r="I58" s="4"/>
      <c r="J58" s="4"/>
      <c r="K58" s="4"/>
      <c r="L58" s="56"/>
      <c r="M58" s="4"/>
      <c r="N58" s="4"/>
      <c r="O58" s="4"/>
      <c r="P58" s="4"/>
      <c r="Q58" s="2"/>
      <c r="R58" s="2"/>
      <c r="S58" s="2"/>
      <c r="T58" s="2"/>
      <c r="U58" s="2"/>
      <c r="V58" s="4"/>
      <c r="W58" s="4"/>
      <c r="X58" s="4"/>
      <c r="Y58" s="4"/>
      <c r="Z58" s="4"/>
      <c r="AA58" s="4"/>
      <c r="AB58" s="4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4"/>
      <c r="AQ58" s="2"/>
      <c r="AR58" s="2"/>
      <c r="AS58" s="3"/>
      <c r="AT58" s="3"/>
    </row>
    <row x14ac:dyDescent="0.25" r="59" customHeight="1" ht="16.5" customFormat="1" s="1">
      <c r="A59" s="3"/>
      <c r="B59" s="3"/>
      <c r="C59" s="3"/>
      <c r="D59" s="3"/>
      <c r="E59" s="3"/>
      <c r="F59" s="3"/>
      <c r="G59" s="3"/>
      <c r="H59" s="4"/>
      <c r="I59" s="4"/>
      <c r="J59" s="4"/>
      <c r="K59" s="4"/>
      <c r="L59" s="56"/>
      <c r="M59" s="4"/>
      <c r="N59" s="4"/>
      <c r="O59" s="4"/>
      <c r="P59" s="4"/>
      <c r="Q59" s="2"/>
      <c r="R59" s="2"/>
      <c r="S59" s="2"/>
      <c r="T59" s="2"/>
      <c r="U59" s="2"/>
      <c r="V59" s="4"/>
      <c r="W59" s="4"/>
      <c r="X59" s="4"/>
      <c r="Y59" s="4"/>
      <c r="Z59" s="4"/>
      <c r="AA59" s="4"/>
      <c r="AB59" s="4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4"/>
      <c r="AQ59" s="2"/>
      <c r="AR59" s="2"/>
      <c r="AS59" s="3"/>
      <c r="AT59" s="3"/>
    </row>
    <row x14ac:dyDescent="0.25" r="60" customHeight="1" ht="16.5" customFormat="1" s="1">
      <c r="A60" s="3"/>
      <c r="B60" s="3"/>
      <c r="C60" s="3"/>
      <c r="D60" s="3"/>
      <c r="E60" s="3"/>
      <c r="F60" s="3"/>
      <c r="G60" s="3"/>
      <c r="H60" s="4"/>
      <c r="I60" s="4"/>
      <c r="J60" s="4"/>
      <c r="K60" s="4"/>
      <c r="L60" s="57"/>
      <c r="M60" s="4"/>
      <c r="N60" s="4"/>
      <c r="O60" s="4"/>
      <c r="P60" s="4"/>
      <c r="Q60" s="2"/>
      <c r="R60" s="2"/>
      <c r="S60" s="2"/>
      <c r="T60" s="2"/>
      <c r="U60" s="2"/>
      <c r="V60" s="4"/>
      <c r="W60" s="4"/>
      <c r="X60" s="4"/>
      <c r="Y60" s="4"/>
      <c r="Z60" s="4"/>
      <c r="AA60" s="4"/>
      <c r="AB60" s="4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4"/>
      <c r="AQ60" s="2"/>
      <c r="AR60" s="2"/>
      <c r="AS60" s="3"/>
      <c r="AT60" s="3"/>
    </row>
    <row x14ac:dyDescent="0.25" r="61" customHeight="1" ht="16.5" customFormat="1" s="1">
      <c r="A61" s="3"/>
      <c r="B61" s="3"/>
      <c r="C61" s="3"/>
      <c r="D61" s="3"/>
      <c r="E61" s="3"/>
      <c r="F61" s="3"/>
      <c r="G61" s="3"/>
      <c r="H61" s="4"/>
      <c r="I61" s="4"/>
      <c r="J61" s="4"/>
      <c r="K61" s="4"/>
      <c r="L61" s="56"/>
      <c r="M61" s="48"/>
      <c r="N61" s="48"/>
      <c r="O61" s="48"/>
      <c r="P61" s="48"/>
      <c r="Q61" s="2"/>
      <c r="R61" s="2"/>
      <c r="S61" s="2"/>
      <c r="T61" s="2"/>
      <c r="U61" s="2"/>
      <c r="V61" s="4"/>
      <c r="W61" s="4"/>
      <c r="X61" s="4"/>
      <c r="Y61" s="4"/>
      <c r="Z61" s="4"/>
      <c r="AA61" s="4"/>
      <c r="AB61" s="4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4"/>
      <c r="AQ61" s="2"/>
      <c r="AR61" s="2"/>
      <c r="AS61" s="3"/>
      <c r="AT61" s="3"/>
    </row>
    <row x14ac:dyDescent="0.25" r="62" customHeight="1" ht="16.5" customFormat="1" s="1">
      <c r="A62" s="3"/>
      <c r="B62" s="3"/>
      <c r="C62" s="3"/>
      <c r="D62" s="3"/>
      <c r="E62" s="3"/>
      <c r="F62" s="3"/>
      <c r="G62" s="3"/>
      <c r="H62" s="4"/>
      <c r="I62" s="4"/>
      <c r="J62" s="4"/>
      <c r="K62" s="4"/>
      <c r="L62" s="56"/>
      <c r="M62" s="48"/>
      <c r="N62" s="48"/>
      <c r="O62" s="48"/>
      <c r="P62" s="48"/>
      <c r="Q62" s="2"/>
      <c r="R62" s="2"/>
      <c r="S62" s="2"/>
      <c r="T62" s="2"/>
      <c r="U62" s="2"/>
      <c r="V62" s="4"/>
      <c r="W62" s="4"/>
      <c r="X62" s="4"/>
      <c r="Y62" s="4"/>
      <c r="Z62" s="4"/>
      <c r="AA62" s="4"/>
      <c r="AB62" s="4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4"/>
      <c r="AQ62" s="2"/>
      <c r="AR62" s="2"/>
      <c r="AS62" s="3"/>
      <c r="AT62" s="3"/>
    </row>
    <row x14ac:dyDescent="0.25" r="63" customHeight="1" ht="16.5" customFormat="1" s="1">
      <c r="A63" s="3"/>
      <c r="B63" s="3"/>
      <c r="C63" s="3"/>
      <c r="D63" s="3"/>
      <c r="E63" s="3"/>
      <c r="F63" s="3"/>
      <c r="G63" s="3"/>
      <c r="H63" s="4"/>
      <c r="I63" s="4"/>
      <c r="J63" s="4"/>
      <c r="K63" s="4"/>
      <c r="L63" s="56"/>
      <c r="M63" s="4"/>
      <c r="N63" s="4"/>
      <c r="O63" s="4"/>
      <c r="P63" s="4"/>
      <c r="Q63" s="2"/>
      <c r="R63" s="2"/>
      <c r="S63" s="2"/>
      <c r="T63" s="2"/>
      <c r="U63" s="2"/>
      <c r="V63" s="4"/>
      <c r="W63" s="4"/>
      <c r="X63" s="4"/>
      <c r="Y63" s="4"/>
      <c r="Z63" s="4"/>
      <c r="AA63" s="4"/>
      <c r="AB63" s="4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4"/>
      <c r="AQ63" s="2"/>
      <c r="AR63" s="2"/>
      <c r="AS63" s="3"/>
      <c r="AT63" s="3"/>
    </row>
    <row x14ac:dyDescent="0.25" r="64" customHeight="1" ht="16.5" customFormat="1" s="1">
      <c r="A64" s="3"/>
      <c r="B64" s="3"/>
      <c r="C64" s="3"/>
      <c r="D64" s="3"/>
      <c r="E64" s="3"/>
      <c r="F64" s="3"/>
      <c r="G64" s="3"/>
      <c r="H64" s="4"/>
      <c r="I64" s="4"/>
      <c r="J64" s="4"/>
      <c r="K64" s="4"/>
      <c r="L64" s="57"/>
      <c r="M64" s="4"/>
      <c r="N64" s="4"/>
      <c r="O64" s="4"/>
      <c r="P64" s="4"/>
      <c r="Q64" s="2"/>
      <c r="R64" s="2"/>
      <c r="S64" s="2"/>
      <c r="T64" s="2"/>
      <c r="U64" s="2"/>
      <c r="V64" s="4"/>
      <c r="W64" s="4"/>
      <c r="X64" s="4"/>
      <c r="Y64" s="4"/>
      <c r="Z64" s="4"/>
      <c r="AA64" s="4"/>
      <c r="AB64" s="4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4"/>
      <c r="AQ64" s="2"/>
      <c r="AR64" s="2"/>
      <c r="AS64" s="3"/>
      <c r="AT64" s="3"/>
    </row>
    <row x14ac:dyDescent="0.25" r="65" customHeight="1" ht="16.5" customFormat="1" s="1">
      <c r="A65" s="3"/>
      <c r="B65" s="3"/>
      <c r="C65" s="3"/>
      <c r="D65" s="3"/>
      <c r="E65" s="3"/>
      <c r="F65" s="3"/>
      <c r="G65" s="3"/>
      <c r="H65" s="4"/>
      <c r="I65" s="4"/>
      <c r="J65" s="4"/>
      <c r="K65" s="4"/>
      <c r="L65" s="56"/>
      <c r="M65" s="4"/>
      <c r="N65" s="4"/>
      <c r="O65" s="4"/>
      <c r="P65" s="4"/>
      <c r="Q65" s="2"/>
      <c r="R65" s="2"/>
      <c r="S65" s="2"/>
      <c r="T65" s="2"/>
      <c r="U65" s="2"/>
      <c r="V65" s="4"/>
      <c r="W65" s="4"/>
      <c r="X65" s="4"/>
      <c r="Y65" s="4"/>
      <c r="Z65" s="4"/>
      <c r="AA65" s="4"/>
      <c r="AB65" s="4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4"/>
      <c r="AQ65" s="2"/>
      <c r="AR65" s="2"/>
      <c r="AS65" s="3"/>
      <c r="AT65" s="3"/>
    </row>
    <row x14ac:dyDescent="0.25" r="66" customHeight="1" ht="16.5" customFormat="1" s="1">
      <c r="A66" s="3"/>
      <c r="B66" s="3"/>
      <c r="C66" s="3"/>
      <c r="D66" s="3"/>
      <c r="E66" s="3"/>
      <c r="F66" s="3"/>
      <c r="G66" s="3"/>
      <c r="H66" s="4"/>
      <c r="I66" s="4"/>
      <c r="J66" s="4"/>
      <c r="K66" s="4"/>
      <c r="L66" s="56"/>
      <c r="M66" s="4"/>
      <c r="N66" s="4"/>
      <c r="O66" s="4"/>
      <c r="P66" s="4"/>
      <c r="Q66" s="2"/>
      <c r="R66" s="2"/>
      <c r="S66" s="2"/>
      <c r="T66" s="2"/>
      <c r="U66" s="2"/>
      <c r="V66" s="4"/>
      <c r="W66" s="4"/>
      <c r="X66" s="4"/>
      <c r="Y66" s="4"/>
      <c r="Z66" s="4"/>
      <c r="AA66" s="4"/>
      <c r="AB66" s="4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4"/>
      <c r="AQ66" s="2"/>
      <c r="AR66" s="2"/>
      <c r="AS66" s="3"/>
      <c r="AT66" s="3"/>
    </row>
    <row x14ac:dyDescent="0.25" r="67" customHeight="1" ht="16.5" customFormat="1" s="1">
      <c r="A67" s="3"/>
      <c r="B67" s="3"/>
      <c r="C67" s="3"/>
      <c r="D67" s="3"/>
      <c r="E67" s="3"/>
      <c r="F67" s="3"/>
      <c r="G67" s="3"/>
      <c r="H67" s="4"/>
      <c r="I67" s="4"/>
      <c r="J67" s="4"/>
      <c r="K67" s="4"/>
      <c r="L67" s="57"/>
      <c r="M67" s="4"/>
      <c r="N67" s="4"/>
      <c r="O67" s="4"/>
      <c r="P67" s="4"/>
      <c r="Q67" s="2"/>
      <c r="R67" s="2"/>
      <c r="S67" s="2"/>
      <c r="T67" s="2"/>
      <c r="U67" s="2"/>
      <c r="V67" s="4"/>
      <c r="W67" s="4"/>
      <c r="X67" s="4"/>
      <c r="Y67" s="4"/>
      <c r="Z67" s="4"/>
      <c r="AA67" s="4"/>
      <c r="AB67" s="4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4"/>
      <c r="AQ67" s="2"/>
      <c r="AR67" s="2"/>
      <c r="AS67" s="3"/>
      <c r="AT67" s="3"/>
    </row>
    <row x14ac:dyDescent="0.25" r="68" customHeight="1" ht="16.5" customFormat="1" s="1">
      <c r="A68" s="3"/>
      <c r="B68" s="3"/>
      <c r="C68" s="3"/>
      <c r="D68" s="3"/>
      <c r="E68" s="3"/>
      <c r="F68" s="3"/>
      <c r="G68" s="3"/>
      <c r="H68" s="4"/>
      <c r="I68" s="4"/>
      <c r="J68" s="4"/>
      <c r="K68" s="4"/>
      <c r="L68" s="56"/>
      <c r="M68" s="4"/>
      <c r="N68" s="4"/>
      <c r="O68" s="4"/>
      <c r="P68" s="4"/>
      <c r="Q68" s="2"/>
      <c r="R68" s="2"/>
      <c r="S68" s="2"/>
      <c r="T68" s="2"/>
      <c r="U68" s="2"/>
      <c r="V68" s="4"/>
      <c r="W68" s="4"/>
      <c r="X68" s="4"/>
      <c r="Y68" s="4"/>
      <c r="Z68" s="4"/>
      <c r="AA68" s="4"/>
      <c r="AB68" s="4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4"/>
      <c r="AQ68" s="2"/>
      <c r="AR68" s="2"/>
      <c r="AS68" s="3"/>
      <c r="AT68" s="3"/>
    </row>
    <row x14ac:dyDescent="0.25" r="69" customHeight="1" ht="16.5" customFormat="1" s="1">
      <c r="A69" s="3"/>
      <c r="B69" s="3"/>
      <c r="C69" s="3"/>
      <c r="D69" s="3"/>
      <c r="E69" s="3"/>
      <c r="F69" s="3"/>
      <c r="G69" s="3"/>
      <c r="H69" s="4"/>
      <c r="I69" s="4"/>
      <c r="J69" s="4"/>
      <c r="K69" s="4"/>
      <c r="L69" s="56"/>
      <c r="M69" s="4"/>
      <c r="N69" s="4"/>
      <c r="O69" s="4"/>
      <c r="P69" s="4"/>
      <c r="Q69" s="2"/>
      <c r="R69" s="2"/>
      <c r="S69" s="2"/>
      <c r="T69" s="2"/>
      <c r="U69" s="2"/>
      <c r="V69" s="4"/>
      <c r="W69" s="4"/>
      <c r="X69" s="4"/>
      <c r="Y69" s="4"/>
      <c r="Z69" s="4"/>
      <c r="AA69" s="4"/>
      <c r="AB69" s="4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4"/>
      <c r="AQ69" s="2"/>
      <c r="AR69" s="2"/>
      <c r="AS69" s="3"/>
      <c r="AT69" s="3"/>
    </row>
    <row x14ac:dyDescent="0.25" r="70" customHeight="1" ht="16.5" customFormat="1" s="1">
      <c r="A70" s="3"/>
      <c r="B70" s="3"/>
      <c r="C70" s="3"/>
      <c r="D70" s="3"/>
      <c r="E70" s="3"/>
      <c r="F70" s="3"/>
      <c r="G70" s="3"/>
      <c r="H70" s="4"/>
      <c r="I70" s="4"/>
      <c r="J70" s="4"/>
      <c r="K70" s="4"/>
      <c r="L70" s="56"/>
      <c r="M70" s="4"/>
      <c r="N70" s="4"/>
      <c r="O70" s="4"/>
      <c r="P70" s="4"/>
      <c r="Q70" s="2"/>
      <c r="R70" s="2"/>
      <c r="S70" s="2"/>
      <c r="T70" s="2"/>
      <c r="U70" s="2"/>
      <c r="V70" s="4"/>
      <c r="W70" s="4"/>
      <c r="X70" s="4"/>
      <c r="Y70" s="4"/>
      <c r="Z70" s="4"/>
      <c r="AA70" s="4"/>
      <c r="AB70" s="4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4"/>
      <c r="AQ70" s="2"/>
      <c r="AR70" s="2"/>
      <c r="AS70" s="3"/>
      <c r="AT7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61"/>
  <sheetViews>
    <sheetView workbookViewId="0"/>
  </sheetViews>
  <sheetFormatPr defaultRowHeight="15" x14ac:dyDescent="0.25"/>
  <cols>
    <col min="1" max="1" style="40" width="11.862142857142858" customWidth="1" bestFit="1"/>
    <col min="2" max="2" style="34" width="11.862142857142858" customWidth="1" bestFit="1"/>
    <col min="3" max="3" style="35" width="13.005" customWidth="1" bestFit="1"/>
    <col min="4" max="4" style="36" width="11.862142857142858" customWidth="1" bestFit="1"/>
    <col min="5" max="5" style="36" width="11.862142857142858" customWidth="1" bestFit="1"/>
    <col min="6" max="6" style="58" width="11.862142857142858" customWidth="1" bestFit="1"/>
    <col min="7" max="7" style="37" width="11.862142857142858" customWidth="1" bestFit="1"/>
    <col min="8" max="8" style="37" width="10.576428571428572" customWidth="1" bestFit="1"/>
    <col min="9" max="9" style="37" width="11.862142857142858" customWidth="1" bestFit="1"/>
    <col min="10" max="10" style="37" width="11.862142857142858" customWidth="1" bestFit="1"/>
    <col min="11" max="11" style="37" width="11.862142857142858" customWidth="1" bestFit="1"/>
    <col min="12" max="12" style="37" width="10.290714285714287" customWidth="1" bestFit="1"/>
    <col min="13" max="13" style="37" width="13.005" customWidth="1" bestFit="1"/>
    <col min="14" max="14" style="37" width="11.862142857142858" customWidth="1" bestFit="1"/>
    <col min="15" max="15" style="37" width="11.862142857142858" customWidth="1" bestFit="1"/>
    <col min="16" max="16" style="37" width="11.862142857142858" customWidth="1" bestFit="1"/>
    <col min="17" max="17" style="37" width="11.862142857142858" customWidth="1" bestFit="1"/>
    <col min="18" max="18" style="40" width="11.862142857142858" customWidth="1" bestFit="1"/>
    <col min="19" max="19" style="40" width="11.862142857142858" customWidth="1" bestFit="1"/>
    <col min="20" max="20" style="40" width="11.862142857142858" customWidth="1" bestFit="1"/>
    <col min="21" max="21" style="37" width="11.862142857142858" customWidth="1" bestFit="1"/>
    <col min="22" max="22" style="37" width="11.862142857142858" customWidth="1" bestFit="1"/>
    <col min="23" max="23" style="37" width="11.862142857142858" customWidth="1" bestFit="1"/>
    <col min="24" max="24" style="37" width="11.862142857142858" customWidth="1" bestFit="1"/>
    <col min="25" max="25" style="37" width="11.862142857142858" customWidth="1" bestFit="1"/>
    <col min="26" max="26" style="37" width="11.862142857142858" customWidth="1" bestFit="1"/>
    <col min="27" max="27" style="37" width="11.862142857142858" customWidth="1" bestFit="1"/>
    <col min="28" max="28" style="37" width="11.862142857142858" customWidth="1" bestFit="1"/>
    <col min="29" max="29" style="40" width="11.862142857142858" customWidth="1" bestFit="1"/>
    <col min="30" max="30" style="40" width="11.862142857142858" customWidth="1" bestFit="1"/>
    <col min="31" max="31" style="40" width="11.862142857142858" customWidth="1" bestFit="1"/>
    <col min="32" max="32" style="40" width="11.862142857142858" customWidth="1" bestFit="1"/>
    <col min="33" max="33" style="40" width="11.862142857142858" customWidth="1" bestFit="1"/>
    <col min="34" max="34" style="40" width="11.862142857142858" customWidth="1" bestFit="1"/>
    <col min="35" max="35" style="40" width="11.862142857142858" customWidth="1" bestFit="1"/>
    <col min="36" max="36" style="40" width="11.862142857142858" customWidth="1" bestFit="1"/>
    <col min="37" max="37" style="40" width="11.862142857142858" customWidth="1" bestFit="1"/>
    <col min="38" max="38" style="40" width="11.862142857142858" customWidth="1" bestFit="1"/>
    <col min="39" max="39" style="40" width="11.862142857142858" customWidth="1" bestFit="1"/>
  </cols>
  <sheetData>
    <row x14ac:dyDescent="0.25" r="1" customHeight="1" ht="16.5" customFormat="1" s="1">
      <c r="A1" s="3"/>
      <c r="B1" s="2"/>
      <c r="C1" s="3"/>
      <c r="D1" s="4" t="s">
        <v>6</v>
      </c>
      <c r="E1" s="4" t="s">
        <v>7</v>
      </c>
      <c r="F1" s="41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6"/>
      <c r="M1" s="4"/>
      <c r="N1" s="6" t="s">
        <v>70</v>
      </c>
      <c r="O1" s="6" t="s">
        <v>71</v>
      </c>
      <c r="P1" s="6" t="s">
        <v>72</v>
      </c>
      <c r="Q1" s="6" t="s">
        <v>73</v>
      </c>
      <c r="R1" s="42"/>
      <c r="S1" s="43"/>
      <c r="T1" s="43"/>
      <c r="U1" s="4" t="s">
        <v>74</v>
      </c>
      <c r="V1" s="4" t="s">
        <v>75</v>
      </c>
      <c r="W1" s="4" t="s">
        <v>76</v>
      </c>
      <c r="X1" s="4" t="s">
        <v>77</v>
      </c>
      <c r="Y1" s="4" t="s">
        <v>78</v>
      </c>
      <c r="Z1" s="4" t="s">
        <v>79</v>
      </c>
      <c r="AA1" s="4" t="s">
        <v>80</v>
      </c>
      <c r="AB1" s="4" t="s">
        <v>81</v>
      </c>
      <c r="AC1" s="44"/>
      <c r="AD1" s="10"/>
      <c r="AE1" s="10"/>
      <c r="AF1" s="10"/>
      <c r="AG1" s="10"/>
      <c r="AH1" s="10"/>
      <c r="AI1" s="10"/>
      <c r="AJ1" s="10"/>
      <c r="AK1" s="11"/>
      <c r="AL1" s="12"/>
      <c r="AM1" s="13"/>
    </row>
    <row x14ac:dyDescent="0.25" r="2" customHeight="1" ht="16.5">
      <c r="A2" s="21"/>
      <c r="B2" s="14">
        <v>1</v>
      </c>
      <c r="C2" s="15" t="s">
        <v>33</v>
      </c>
      <c r="D2" s="45">
        <v>0.49324</v>
      </c>
      <c r="E2" s="45">
        <v>1.73482</v>
      </c>
      <c r="F2" s="46">
        <v>14.39115</v>
      </c>
      <c r="G2" s="45">
        <v>1.49366</v>
      </c>
      <c r="H2" s="17">
        <f>LN(D2)</f>
      </c>
      <c r="I2" s="17">
        <f>LN(E2)</f>
      </c>
      <c r="J2" s="17">
        <f>LN(F2)</f>
      </c>
      <c r="K2" s="17">
        <f>LN(G2)</f>
      </c>
      <c r="L2" s="31"/>
      <c r="M2" s="47" t="s">
        <v>33</v>
      </c>
      <c r="N2" s="17">
        <v>-0.7067594079798073</v>
      </c>
      <c r="O2" s="17">
        <v>0.5509036616190982</v>
      </c>
      <c r="P2" s="17">
        <v>2.6666134343148706</v>
      </c>
      <c r="Q2" s="17">
        <v>0.40122948383649143</v>
      </c>
      <c r="R2" s="21"/>
      <c r="S2" s="21"/>
      <c r="T2" s="21"/>
      <c r="U2" s="17">
        <v>-0.7067594079798073</v>
      </c>
      <c r="V2" s="17">
        <v>-0.08338160893905101</v>
      </c>
      <c r="W2" s="17">
        <v>0.5509036616190982</v>
      </c>
      <c r="X2" s="17">
        <v>-0.1957959297959724</v>
      </c>
      <c r="Y2" s="17">
        <v>2.6666134343148706</v>
      </c>
      <c r="Z2" s="17">
        <v>-0.20877231401523696</v>
      </c>
      <c r="AA2" s="17">
        <v>0.40122948383649143</v>
      </c>
      <c r="AB2" s="17">
        <v>0.1578153851557219</v>
      </c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</row>
    <row x14ac:dyDescent="0.25" r="3" customHeight="1" ht="16.5">
      <c r="A3" s="21"/>
      <c r="B3" s="14">
        <v>2</v>
      </c>
      <c r="C3" s="15" t="s">
        <v>34</v>
      </c>
      <c r="D3" s="45">
        <v>0.85919</v>
      </c>
      <c r="E3" s="45">
        <v>1.40989</v>
      </c>
      <c r="F3" s="45">
        <v>0.92809</v>
      </c>
      <c r="G3" s="45">
        <v>1.06471</v>
      </c>
      <c r="H3" s="17">
        <f>LN(D3)</f>
      </c>
      <c r="I3" s="17">
        <f>LN(E3)</f>
      </c>
      <c r="J3" s="17">
        <f>LN(F3)</f>
      </c>
      <c r="K3" s="17">
        <f>LN(G3)</f>
      </c>
      <c r="L3" s="31"/>
      <c r="M3" s="47" t="s">
        <v>34</v>
      </c>
      <c r="N3" s="17">
        <v>-0.15176519402897315</v>
      </c>
      <c r="O3" s="17">
        <v>0.34351168716241504</v>
      </c>
      <c r="P3" s="17">
        <v>-0.07462656813983952</v>
      </c>
      <c r="Q3" s="17">
        <v>0.06270246161140056</v>
      </c>
      <c r="R3" s="21"/>
      <c r="S3" s="21"/>
      <c r="T3" s="21"/>
      <c r="U3" s="17">
        <v>-0.15176519402897315</v>
      </c>
      <c r="V3" s="17">
        <v>1.8405782044179029</v>
      </c>
      <c r="W3" s="17">
        <v>0.34351168716241504</v>
      </c>
      <c r="X3" s="17">
        <v>0.899677493067012</v>
      </c>
      <c r="Y3" s="17">
        <v>-0.07462656813983952</v>
      </c>
      <c r="Z3" s="17">
        <v>-0.010040234894415344</v>
      </c>
      <c r="AA3" s="17">
        <v>0.06270246161140056</v>
      </c>
      <c r="AB3" s="17">
        <v>1.7974847153508766</v>
      </c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</row>
    <row x14ac:dyDescent="0.25" r="4" customHeight="1" ht="16.5">
      <c r="A4" s="21"/>
      <c r="B4" s="14">
        <v>3</v>
      </c>
      <c r="C4" s="15" t="s">
        <v>35</v>
      </c>
      <c r="D4" s="48">
        <v>1.15172</v>
      </c>
      <c r="E4" s="48">
        <v>2.81219</v>
      </c>
      <c r="F4" s="48">
        <v>0.5188</v>
      </c>
      <c r="G4" s="48">
        <v>1.97107</v>
      </c>
      <c r="H4" s="17">
        <f>LN(D4)</f>
      </c>
      <c r="I4" s="17">
        <f>LN(E4)</f>
      </c>
      <c r="J4" s="17">
        <f>LN(F4)</f>
      </c>
      <c r="K4" s="17">
        <f>LN(G4)</f>
      </c>
      <c r="L4" s="31"/>
      <c r="M4" s="47" t="s">
        <v>35</v>
      </c>
      <c r="N4" s="17">
        <v>0.14125647717535533</v>
      </c>
      <c r="O4" s="17">
        <v>1.0339635392334008</v>
      </c>
      <c r="P4" s="17">
        <v>-0.6562368265398482</v>
      </c>
      <c r="Q4" s="17">
        <v>0.6785765425069635</v>
      </c>
      <c r="R4" s="21"/>
      <c r="S4" s="21"/>
      <c r="T4" s="21"/>
      <c r="U4" s="17">
        <v>0.14125647717535533</v>
      </c>
      <c r="V4" s="17">
        <v>-0.10166734382020877</v>
      </c>
      <c r="W4" s="17">
        <v>1.0339635392334008</v>
      </c>
      <c r="X4" s="17">
        <v>0.013005066334869296</v>
      </c>
      <c r="Y4" s="17">
        <v>-0.6562368265398482</v>
      </c>
      <c r="Z4" s="17">
        <v>-0.9598508466265345</v>
      </c>
      <c r="AA4" s="17">
        <v>0.6785765425069635</v>
      </c>
      <c r="AB4" s="17">
        <v>0.15519013940192078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</row>
    <row x14ac:dyDescent="0.25" r="5" customHeight="1" ht="16.5">
      <c r="A5" s="21"/>
      <c r="B5" s="14">
        <v>4</v>
      </c>
      <c r="C5" s="15" t="s">
        <v>36</v>
      </c>
      <c r="D5" s="48">
        <v>0.59038</v>
      </c>
      <c r="E5" s="48">
        <v>0.68863</v>
      </c>
      <c r="F5" s="49">
        <v>0.14216</v>
      </c>
      <c r="G5" s="48">
        <v>0.50188</v>
      </c>
      <c r="H5" s="17">
        <f>LN(D5)</f>
      </c>
      <c r="I5" s="17">
        <f>LN(E5)</f>
      </c>
      <c r="J5" s="17">
        <f>LN(F5)</f>
      </c>
      <c r="K5" s="17">
        <f>LN(G5)</f>
      </c>
      <c r="L5" s="31"/>
      <c r="M5" s="47" t="s">
        <v>36</v>
      </c>
      <c r="N5" s="17">
        <v>-0.52698888160841</v>
      </c>
      <c r="O5" s="17">
        <v>-0.37305116236972774</v>
      </c>
      <c r="P5" s="17">
        <v>-1.950802095135741</v>
      </c>
      <c r="Q5" s="17">
        <v>-0.6893942316906381</v>
      </c>
      <c r="R5" s="21"/>
      <c r="S5" s="21"/>
      <c r="T5" s="21"/>
      <c r="U5" s="17">
        <v>-0.52698888160841</v>
      </c>
      <c r="V5" s="17">
        <v>-1.0980824290685038</v>
      </c>
      <c r="W5" s="17">
        <v>-0.37305116236972774</v>
      </c>
      <c r="X5" s="17">
        <v>-0.16029786846919478</v>
      </c>
      <c r="Y5" s="17">
        <v>-1.950802095135741</v>
      </c>
      <c r="Z5" s="17">
        <v>-0.952358421036032</v>
      </c>
      <c r="AA5" s="17">
        <v>-0.6893942316906381</v>
      </c>
      <c r="AB5" s="17">
        <v>-1.0017124639281503</v>
      </c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</row>
    <row x14ac:dyDescent="0.25" r="6" customHeight="1" ht="16.5">
      <c r="A6" s="21"/>
      <c r="B6" s="14">
        <v>5</v>
      </c>
      <c r="C6" s="15" t="s">
        <v>37</v>
      </c>
      <c r="D6" s="48">
        <v>0.74947</v>
      </c>
      <c r="E6" s="48">
        <v>0.37542</v>
      </c>
      <c r="F6" s="48">
        <v>0.26278</v>
      </c>
      <c r="G6" s="48">
        <v>0.51664</v>
      </c>
      <c r="H6" s="17">
        <f>LN(D6)</f>
      </c>
      <c r="I6" s="17">
        <f>LN(E6)</f>
      </c>
      <c r="J6" s="17">
        <f>LN(F6)</f>
      </c>
      <c r="K6" s="17">
        <f>LN(G6)</f>
      </c>
      <c r="L6" s="31"/>
      <c r="M6" s="47" t="s">
        <v>37</v>
      </c>
      <c r="N6" s="17">
        <v>-0.2883889889250301</v>
      </c>
      <c r="O6" s="17">
        <v>-0.97970987974381</v>
      </c>
      <c r="P6" s="17">
        <v>-1.336438098768461</v>
      </c>
      <c r="Q6" s="17">
        <v>-0.660408971972172</v>
      </c>
      <c r="R6" s="21"/>
      <c r="S6" s="21"/>
      <c r="T6" s="21"/>
      <c r="U6" s="17">
        <v>-0.2883889889250301</v>
      </c>
      <c r="V6" s="17">
        <v>0.48916879850674644</v>
      </c>
      <c r="W6" s="17">
        <v>-0.97970987974381</v>
      </c>
      <c r="X6" s="17">
        <v>0.015666634878980172</v>
      </c>
      <c r="Y6" s="17">
        <v>-1.336438098768461</v>
      </c>
      <c r="Z6" s="17">
        <v>0.40357665944423277</v>
      </c>
      <c r="AA6" s="17">
        <v>-0.660408971972172</v>
      </c>
      <c r="AB6" s="17">
        <v>0.3197692291078743</v>
      </c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</row>
    <row x14ac:dyDescent="0.25" r="7" customHeight="1" ht="16.5">
      <c r="A7" s="21"/>
      <c r="B7" s="14">
        <v>6</v>
      </c>
      <c r="C7" s="15" t="s">
        <v>38</v>
      </c>
      <c r="D7" s="48">
        <v>0.5385</v>
      </c>
      <c r="E7" s="48">
        <v>0.8567</v>
      </c>
      <c r="F7" s="49">
        <v>0.20396</v>
      </c>
      <c r="G7" s="48">
        <v>0.54981</v>
      </c>
      <c r="H7" s="17">
        <f>LN(D7)</f>
      </c>
      <c r="I7" s="17">
        <f>LN(E7)</f>
      </c>
      <c r="J7" s="17">
        <f>LN(F7)</f>
      </c>
      <c r="K7" s="17">
        <f>LN(G7)</f>
      </c>
      <c r="L7" s="31"/>
      <c r="M7" s="47" t="s">
        <v>38</v>
      </c>
      <c r="N7" s="17">
        <v>-0.6189677823856938</v>
      </c>
      <c r="O7" s="17">
        <v>-0.15466748001213876</v>
      </c>
      <c r="P7" s="17">
        <v>-1.589831382795182</v>
      </c>
      <c r="Q7" s="17">
        <v>-0.598182514984242</v>
      </c>
      <c r="R7" s="21"/>
      <c r="S7" s="21"/>
      <c r="T7" s="21"/>
      <c r="U7" s="17">
        <v>-0.6189677823856938</v>
      </c>
      <c r="V7" s="17">
        <v>0.018684355204127798</v>
      </c>
      <c r="W7" s="17">
        <v>-0.15466748001213876</v>
      </c>
      <c r="X7" s="17">
        <v>0.233719429046383</v>
      </c>
      <c r="Y7" s="17">
        <v>-1.589831382795182</v>
      </c>
      <c r="Z7" s="17">
        <v>-0.8796213475171436</v>
      </c>
      <c r="AA7" s="17">
        <v>-0.598182514984242</v>
      </c>
      <c r="AB7" s="17">
        <v>-0.2962654713156457</v>
      </c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</row>
    <row x14ac:dyDescent="0.25" r="8" customHeight="1" ht="16.5">
      <c r="A8" s="21"/>
      <c r="B8" s="14">
        <v>7</v>
      </c>
      <c r="C8" s="15" t="s">
        <v>39</v>
      </c>
      <c r="D8" s="48">
        <v>0.55849</v>
      </c>
      <c r="E8" s="48">
        <v>0.91645</v>
      </c>
      <c r="F8" s="48">
        <v>0.74158</v>
      </c>
      <c r="G8" s="48">
        <v>0.55139</v>
      </c>
      <c r="H8" s="17">
        <f>LN(D8)</f>
      </c>
      <c r="I8" s="17">
        <f>LN(E8)</f>
      </c>
      <c r="J8" s="17">
        <f>LN(F8)</f>
      </c>
      <c r="K8" s="17">
        <f>LN(G8)</f>
      </c>
      <c r="L8" s="31"/>
      <c r="M8" s="47" t="s">
        <v>39</v>
      </c>
      <c r="N8" s="17">
        <v>-0.5825185657361341</v>
      </c>
      <c r="O8" s="17">
        <v>-0.0872477685642802</v>
      </c>
      <c r="P8" s="17">
        <v>-0.2989722338104431</v>
      </c>
      <c r="Q8" s="17">
        <v>-0.5953129162115907</v>
      </c>
      <c r="R8" s="21"/>
      <c r="S8" s="21"/>
      <c r="T8" s="21"/>
      <c r="U8" s="17">
        <v>-0.5825185657361341</v>
      </c>
      <c r="V8" s="17">
        <v>-0.3936650039924139</v>
      </c>
      <c r="W8" s="17">
        <v>-0.0872477685642802</v>
      </c>
      <c r="X8" s="17">
        <v>-0.1504043726739048</v>
      </c>
      <c r="Y8" s="17">
        <v>-0.2989722338104431</v>
      </c>
      <c r="Z8" s="17">
        <v>-0.16844232054412317</v>
      </c>
      <c r="AA8" s="17">
        <v>-0.5953129162115907</v>
      </c>
      <c r="AB8" s="17">
        <v>-0.47879415293532696</v>
      </c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</row>
    <row x14ac:dyDescent="0.25" r="9" customHeight="1" ht="16.5">
      <c r="A9" s="21"/>
      <c r="B9" s="14">
        <v>8</v>
      </c>
      <c r="C9" s="15" t="s">
        <v>40</v>
      </c>
      <c r="D9" s="48">
        <v>0.99518</v>
      </c>
      <c r="E9" s="48">
        <v>1.17468</v>
      </c>
      <c r="F9" s="48">
        <v>1.67847</v>
      </c>
      <c r="G9" s="48">
        <v>1.39654</v>
      </c>
      <c r="H9" s="17">
        <f>LN(D9)</f>
      </c>
      <c r="I9" s="17">
        <f>LN(E9)</f>
      </c>
      <c r="J9" s="17">
        <f>LN(F9)</f>
      </c>
      <c r="K9" s="17">
        <f>LN(G9)</f>
      </c>
      <c r="L9" s="31"/>
      <c r="M9" s="47" t="s">
        <v>40</v>
      </c>
      <c r="N9" s="17">
        <v>-0.004831653662181228</v>
      </c>
      <c r="O9" s="17">
        <v>0.16099577007920216</v>
      </c>
      <c r="P9" s="17">
        <v>0.5178826641772437</v>
      </c>
      <c r="Q9" s="17">
        <v>0.3339977490290522</v>
      </c>
      <c r="R9" s="21"/>
      <c r="S9" s="21"/>
      <c r="T9" s="21"/>
      <c r="U9" s="17">
        <v>-0.004831653662181228</v>
      </c>
      <c r="V9" s="17">
        <v>0.08065790301745454</v>
      </c>
      <c r="W9" s="17">
        <v>0.16099577007920216</v>
      </c>
      <c r="X9" s="17">
        <v>0.24469367046455973</v>
      </c>
      <c r="Y9" s="17">
        <v>0.5178826641772437</v>
      </c>
      <c r="Z9" s="17">
        <v>-1.486247301878902</v>
      </c>
      <c r="AA9" s="17">
        <v>0.3339977490290522</v>
      </c>
      <c r="AB9" s="17">
        <v>0.32037914903848874</v>
      </c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</row>
    <row x14ac:dyDescent="0.25" r="10" customHeight="1" ht="16.5">
      <c r="A10" s="21"/>
      <c r="B10" s="14">
        <v>9</v>
      </c>
      <c r="C10" s="15" t="s">
        <v>41</v>
      </c>
      <c r="D10" s="48">
        <v>3.00354</v>
      </c>
      <c r="E10" s="48">
        <v>1.81942</v>
      </c>
      <c r="F10" s="48">
        <v>2.33906</v>
      </c>
      <c r="G10" s="48">
        <v>1.71038</v>
      </c>
      <c r="H10" s="17">
        <f>LN(D10)</f>
      </c>
      <c r="I10" s="17">
        <f>LN(E10)</f>
      </c>
      <c r="J10" s="17">
        <f>LN(F10)</f>
      </c>
      <c r="K10" s="17">
        <f>LN(G10)</f>
      </c>
      <c r="L10" s="31"/>
      <c r="M10" s="47" t="s">
        <v>41</v>
      </c>
      <c r="N10" s="17">
        <v>1.0997915930153028</v>
      </c>
      <c r="O10" s="17">
        <v>0.5985177689803405</v>
      </c>
      <c r="P10" s="17">
        <v>0.8497491392610644</v>
      </c>
      <c r="Q10" s="17">
        <v>0.53671556804909</v>
      </c>
      <c r="R10" s="21"/>
      <c r="S10" s="21"/>
      <c r="T10" s="21"/>
      <c r="U10" s="17">
        <v>1.0997915930153028</v>
      </c>
      <c r="V10" s="17">
        <v>0.3682684784484397</v>
      </c>
      <c r="W10" s="17">
        <v>0.5985177689803405</v>
      </c>
      <c r="X10" s="17">
        <v>-0.27066764229265144</v>
      </c>
      <c r="Y10" s="17">
        <v>0.8497491392610644</v>
      </c>
      <c r="Z10" s="17">
        <v>-0.8540908807948054</v>
      </c>
      <c r="AA10" s="17">
        <v>0.53671556804909</v>
      </c>
      <c r="AB10" s="17">
        <v>-0.08541628618727198</v>
      </c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</row>
    <row x14ac:dyDescent="0.25" r="11" customHeight="1" ht="16.5">
      <c r="A11" s="21"/>
      <c r="B11" s="14">
        <v>10</v>
      </c>
      <c r="C11" s="15" t="s">
        <v>42</v>
      </c>
      <c r="D11" s="48">
        <v>0.39123</v>
      </c>
      <c r="E11" s="48">
        <v>0.41371</v>
      </c>
      <c r="F11" s="48">
        <v>12.64434</v>
      </c>
      <c r="G11" s="48">
        <v>0.72962</v>
      </c>
      <c r="H11" s="17">
        <f>LN(D11)</f>
      </c>
      <c r="I11" s="17">
        <f>LN(E11)</f>
      </c>
      <c r="J11" s="17">
        <f>LN(F11)</f>
      </c>
      <c r="K11" s="17">
        <f>LN(G11)</f>
      </c>
      <c r="L11" s="31"/>
      <c r="M11" s="47" t="s">
        <v>42</v>
      </c>
      <c r="N11" s="17">
        <v>-0.9384596566452169</v>
      </c>
      <c r="O11" s="17">
        <v>-0.8825900337015214</v>
      </c>
      <c r="P11" s="17">
        <v>2.537209684216448</v>
      </c>
      <c r="Q11" s="17">
        <v>-0.3152314283170233</v>
      </c>
      <c r="R11" s="21"/>
      <c r="S11" s="21"/>
      <c r="T11" s="21"/>
      <c r="U11" s="17">
        <v>-0.9384596566452169</v>
      </c>
      <c r="V11" s="17">
        <v>-0.3130409069186711</v>
      </c>
      <c r="W11" s="17">
        <v>-0.8825900337015214</v>
      </c>
      <c r="X11" s="17">
        <v>-0.31717954324080405</v>
      </c>
      <c r="Y11" s="17">
        <v>2.537209684216448</v>
      </c>
      <c r="Z11" s="17">
        <v>-0.508844254641521</v>
      </c>
      <c r="AA11" s="17">
        <v>-0.3152314283170233</v>
      </c>
      <c r="AB11" s="17">
        <v>0.04829480340330585</v>
      </c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</row>
    <row x14ac:dyDescent="0.25" r="12" customHeight="1" ht="16.5">
      <c r="A12" s="21"/>
      <c r="B12" s="14">
        <v>11</v>
      </c>
      <c r="C12" s="15" t="s">
        <v>43</v>
      </c>
      <c r="D12" s="48">
        <v>0.55724</v>
      </c>
      <c r="E12" s="48">
        <v>0.72795</v>
      </c>
      <c r="F12" s="48">
        <v>3.10294</v>
      </c>
      <c r="G12" s="48">
        <v>0.67288</v>
      </c>
      <c r="H12" s="17">
        <f>LN(D12)</f>
      </c>
      <c r="I12" s="17">
        <f>LN(E12)</f>
      </c>
      <c r="J12" s="17">
        <f>LN(F12)</f>
      </c>
      <c r="K12" s="17">
        <f>LN(G12)</f>
      </c>
      <c r="L12" s="31"/>
      <c r="M12" s="47" t="s">
        <v>43</v>
      </c>
      <c r="N12" s="17">
        <v>-0.584759252144113</v>
      </c>
      <c r="O12" s="17">
        <v>-0.3175229144628022</v>
      </c>
      <c r="P12" s="17">
        <v>1.1323500491529683</v>
      </c>
      <c r="Q12" s="17">
        <v>-0.39618827132795514</v>
      </c>
      <c r="R12" s="21"/>
      <c r="S12" s="21"/>
      <c r="T12" s="21"/>
      <c r="U12" s="17">
        <v>-0.584759252144113</v>
      </c>
      <c r="V12" s="17">
        <v>-0.9185182108645067</v>
      </c>
      <c r="W12" s="17">
        <v>-0.3175229144628022</v>
      </c>
      <c r="X12" s="17">
        <v>-0.17093067986727556</v>
      </c>
      <c r="Y12" s="17">
        <v>1.1323500491529683</v>
      </c>
      <c r="Z12" s="17">
        <v>-0.3096686829039336</v>
      </c>
      <c r="AA12" s="17">
        <v>-0.39618827132795514</v>
      </c>
      <c r="AB12" s="17">
        <v>-0.19156010102733273</v>
      </c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</row>
    <row x14ac:dyDescent="0.25" r="13" customHeight="1" ht="16.5">
      <c r="A13" s="21"/>
      <c r="B13" s="14">
        <v>12</v>
      </c>
      <c r="C13" s="15" t="s">
        <v>44</v>
      </c>
      <c r="D13" s="48">
        <v>0.44664</v>
      </c>
      <c r="E13" s="48">
        <v>2.5321</v>
      </c>
      <c r="F13" s="48">
        <v>1.74682</v>
      </c>
      <c r="G13" s="48">
        <v>0.75224</v>
      </c>
      <c r="H13" s="17">
        <f>LN(D13)</f>
      </c>
      <c r="I13" s="17">
        <f>LN(E13)</f>
      </c>
      <c r="J13" s="17">
        <f>LN(F13)</f>
      </c>
      <c r="K13" s="17">
        <f>LN(G13)</f>
      </c>
      <c r="L13" s="31"/>
      <c r="M13" s="47" t="s">
        <v>44</v>
      </c>
      <c r="N13" s="17">
        <v>-0.806002377980032</v>
      </c>
      <c r="O13" s="17">
        <v>0.9290489979728177</v>
      </c>
      <c r="P13" s="17">
        <v>0.5577969920713949</v>
      </c>
      <c r="Q13" s="17">
        <v>-0.28469985701331557</v>
      </c>
      <c r="R13" s="21"/>
      <c r="S13" s="21"/>
      <c r="T13" s="21"/>
      <c r="U13" s="17">
        <v>-0.806002377980032</v>
      </c>
      <c r="V13" s="31"/>
      <c r="W13" s="17">
        <v>0.9290489979728177</v>
      </c>
      <c r="X13" s="31"/>
      <c r="Y13" s="17">
        <v>0.5577969920713949</v>
      </c>
      <c r="Z13" s="31"/>
      <c r="AA13" s="17">
        <v>-0.28469985701331557</v>
      </c>
      <c r="AB13" s="3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</row>
    <row x14ac:dyDescent="0.25" r="14" customHeight="1" ht="16.5">
      <c r="A14" s="21"/>
      <c r="B14" s="14">
        <v>13</v>
      </c>
      <c r="C14" s="15" t="s">
        <v>45</v>
      </c>
      <c r="D14" s="48">
        <v>0.54002</v>
      </c>
      <c r="E14" s="48">
        <v>1.26504</v>
      </c>
      <c r="F14" s="48">
        <v>8.26381</v>
      </c>
      <c r="G14" s="48">
        <v>0.35972</v>
      </c>
      <c r="H14" s="17">
        <f>LN(D14)</f>
      </c>
      <c r="I14" s="17">
        <f>LN(E14)</f>
      </c>
      <c r="J14" s="17">
        <f>LN(F14)</f>
      </c>
      <c r="K14" s="17">
        <f>LN(G14)</f>
      </c>
      <c r="L14" s="31"/>
      <c r="M14" s="47" t="s">
        <v>45</v>
      </c>
      <c r="N14" s="17">
        <v>-0.6161491030726342</v>
      </c>
      <c r="O14" s="17">
        <v>0.23510374223292405</v>
      </c>
      <c r="P14" s="17">
        <v>2.1118857402655213</v>
      </c>
      <c r="Q14" s="17">
        <v>-1.0224293279358223</v>
      </c>
      <c r="R14" s="21"/>
      <c r="S14" s="21"/>
      <c r="T14" s="21"/>
      <c r="U14" s="17">
        <v>-0.6161491030726342</v>
      </c>
      <c r="V14" s="31"/>
      <c r="W14" s="17">
        <v>0.23510374223292405</v>
      </c>
      <c r="X14" s="31"/>
      <c r="Y14" s="17">
        <v>2.1118857402655213</v>
      </c>
      <c r="Z14" s="31"/>
      <c r="AA14" s="17">
        <v>-1.0224293279358223</v>
      </c>
      <c r="AB14" s="3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</row>
    <row x14ac:dyDescent="0.25" r="15" customHeight="1" ht="16.5">
      <c r="A15" s="21"/>
      <c r="B15" s="14">
        <v>14</v>
      </c>
      <c r="C15" s="15" t="s">
        <v>46</v>
      </c>
      <c r="D15" s="48">
        <v>0.58877</v>
      </c>
      <c r="E15" s="48">
        <v>0.96967</v>
      </c>
      <c r="F15" s="48">
        <v>0.84924</v>
      </c>
      <c r="G15" s="48">
        <v>0.51741</v>
      </c>
      <c r="H15" s="17">
        <f>LN(D15)</f>
      </c>
      <c r="I15" s="17">
        <f>LN(E15)</f>
      </c>
      <c r="J15" s="17">
        <f>LN(F15)</f>
      </c>
      <c r="K15" s="17">
        <f>LN(G15)</f>
      </c>
      <c r="L15" s="31"/>
      <c r="M15" s="47" t="s">
        <v>46</v>
      </c>
      <c r="N15" s="17">
        <v>-0.5297196639524778</v>
      </c>
      <c r="O15" s="17">
        <v>-0.030799471553528406</v>
      </c>
      <c r="P15" s="17">
        <v>-0.1634134471064434</v>
      </c>
      <c r="Q15" s="17">
        <v>-0.658919682010718</v>
      </c>
      <c r="R15" s="21"/>
      <c r="S15" s="21"/>
      <c r="T15" s="21"/>
      <c r="U15" s="17">
        <v>-0.5297196639524778</v>
      </c>
      <c r="V15" s="31"/>
      <c r="W15" s="17">
        <v>-0.030799471553528406</v>
      </c>
      <c r="X15" s="31"/>
      <c r="Y15" s="17">
        <v>-0.1634134471064434</v>
      </c>
      <c r="Z15" s="31"/>
      <c r="AA15" s="17">
        <v>-0.658919682010718</v>
      </c>
      <c r="AB15" s="3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x14ac:dyDescent="0.25" r="16" customHeight="1" ht="16.5">
      <c r="A16" s="21"/>
      <c r="B16" s="14">
        <v>15</v>
      </c>
      <c r="C16" s="15" t="s">
        <v>47</v>
      </c>
      <c r="D16" s="48">
        <v>0.85279</v>
      </c>
      <c r="E16" s="48">
        <v>1.00334</v>
      </c>
      <c r="F16" s="48">
        <v>3.34423</v>
      </c>
      <c r="G16" s="48">
        <v>1.12944</v>
      </c>
      <c r="H16" s="17">
        <f>LN(D16)</f>
      </c>
      <c r="I16" s="17">
        <f>LN(E16)</f>
      </c>
      <c r="J16" s="17">
        <f>LN(F16)</f>
      </c>
      <c r="K16" s="17">
        <f>LN(G16)</f>
      </c>
      <c r="L16" s="31"/>
      <c r="M16" s="47" t="s">
        <v>47</v>
      </c>
      <c r="N16" s="17">
        <v>-0.15924195171810715</v>
      </c>
      <c r="O16" s="17">
        <v>0.0033344345888722798</v>
      </c>
      <c r="P16" s="17">
        <v>1.2072364727615323</v>
      </c>
      <c r="Q16" s="17">
        <v>0.121721934665025</v>
      </c>
      <c r="R16" s="21"/>
      <c r="S16" s="21"/>
      <c r="T16" s="21"/>
      <c r="U16" s="17">
        <v>-0.15924195171810715</v>
      </c>
      <c r="V16" s="31"/>
      <c r="W16" s="17">
        <v>0.0033344345888722798</v>
      </c>
      <c r="X16" s="31"/>
      <c r="Y16" s="17">
        <v>1.2072364727615323</v>
      </c>
      <c r="Z16" s="31"/>
      <c r="AA16" s="17">
        <v>0.121721934665025</v>
      </c>
      <c r="AB16" s="3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</row>
    <row x14ac:dyDescent="0.25" r="17" customHeight="1" ht="16.5">
      <c r="A17" s="21"/>
      <c r="B17" s="14">
        <v>16</v>
      </c>
      <c r="C17" s="15" t="s">
        <v>48</v>
      </c>
      <c r="D17" s="48">
        <v>0.92</v>
      </c>
      <c r="E17" s="48">
        <v>0.82218</v>
      </c>
      <c r="F17" s="48">
        <v>0.81158</v>
      </c>
      <c r="G17" s="48">
        <v>1.17095</v>
      </c>
      <c r="H17" s="17">
        <f>LN(D17)</f>
      </c>
      <c r="I17" s="17">
        <f>LN(E17)</f>
      </c>
      <c r="J17" s="17">
        <f>LN(F17)</f>
      </c>
      <c r="K17" s="17">
        <f>LN(G17)</f>
      </c>
      <c r="L17" s="31"/>
      <c r="M17" s="50" t="s">
        <v>52</v>
      </c>
      <c r="N17" s="17">
        <v>0.03439176483490784</v>
      </c>
      <c r="O17" s="17">
        <v>-0.08791360205410567</v>
      </c>
      <c r="P17" s="17">
        <v>-1.0454317761973848</v>
      </c>
      <c r="Q17" s="17">
        <v>-1.0203465434730432</v>
      </c>
      <c r="R17" s="21"/>
      <c r="S17" s="21"/>
      <c r="T17" s="21"/>
      <c r="U17" s="17">
        <v>0.03439176483490784</v>
      </c>
      <c r="V17" s="31"/>
      <c r="W17" s="17">
        <v>-0.08791360205410567</v>
      </c>
      <c r="X17" s="31"/>
      <c r="Y17" s="17">
        <v>-1.0454317761973848</v>
      </c>
      <c r="Z17" s="31"/>
      <c r="AA17" s="17">
        <v>-1.0203465434730432</v>
      </c>
      <c r="AB17" s="31"/>
      <c r="AC17" s="21"/>
      <c r="AD17" s="21"/>
      <c r="AE17" s="21"/>
      <c r="AF17" s="21"/>
      <c r="AG17" s="21"/>
      <c r="AH17" s="21"/>
      <c r="AI17" s="21"/>
      <c r="AJ17" s="21"/>
      <c r="AK17" s="51" t="s">
        <v>82</v>
      </c>
      <c r="AL17" s="21"/>
      <c r="AM17" s="21"/>
    </row>
    <row x14ac:dyDescent="0.25" r="18" customHeight="1" ht="16.5">
      <c r="A18" s="21"/>
      <c r="B18" s="14">
        <v>17</v>
      </c>
      <c r="C18" s="15" t="s">
        <v>49</v>
      </c>
      <c r="D18" s="52">
        <v>6.30018</v>
      </c>
      <c r="E18" s="48">
        <v>2.45881</v>
      </c>
      <c r="F18" s="48">
        <v>0.99001</v>
      </c>
      <c r="G18" s="52">
        <v>6.03445</v>
      </c>
      <c r="H18" s="17">
        <f>LN(D18)</f>
      </c>
      <c r="I18" s="17">
        <f>LN(E18)</f>
      </c>
      <c r="J18" s="17">
        <f>LN(F18)</f>
      </c>
      <c r="K18" s="17">
        <f>LN(G18)</f>
      </c>
      <c r="L18" s="31"/>
      <c r="M18" s="50" t="s">
        <v>53</v>
      </c>
      <c r="N18" s="17">
        <v>-0.3550049106495119</v>
      </c>
      <c r="O18" s="17">
        <v>0.4274874921426571</v>
      </c>
      <c r="P18" s="17">
        <v>-0.5622241868519909</v>
      </c>
      <c r="Q18" s="17">
        <v>-0.20178576136156634</v>
      </c>
      <c r="R18" s="21"/>
      <c r="S18" s="21"/>
      <c r="T18" s="21"/>
      <c r="U18" s="17">
        <v>-0.3550049106495119</v>
      </c>
      <c r="V18" s="31"/>
      <c r="W18" s="17">
        <v>0.4274874921426571</v>
      </c>
      <c r="X18" s="31"/>
      <c r="Y18" s="17">
        <v>-0.5622241868519909</v>
      </c>
      <c r="Z18" s="31"/>
      <c r="AA18" s="17">
        <v>-0.20178576136156634</v>
      </c>
      <c r="AB18" s="3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</row>
    <row x14ac:dyDescent="0.25" r="19" customHeight="1" ht="16.5">
      <c r="A19" s="21"/>
      <c r="B19" s="14">
        <v>18</v>
      </c>
      <c r="C19" s="15" t="s">
        <v>50</v>
      </c>
      <c r="D19" s="48">
        <v>0.90333</v>
      </c>
      <c r="E19" s="48">
        <v>1.01309</v>
      </c>
      <c r="F19" s="48">
        <v>0.38295</v>
      </c>
      <c r="G19" s="48">
        <v>1.16788</v>
      </c>
      <c r="H19" s="17">
        <f>LN(D19)</f>
      </c>
      <c r="I19" s="17">
        <f>LN(E19)</f>
      </c>
      <c r="J19" s="17">
        <f>LN(F19)</f>
      </c>
      <c r="K19" s="17">
        <f>LN(G19)</f>
      </c>
      <c r="L19" s="31"/>
      <c r="M19" s="53" t="s">
        <v>48</v>
      </c>
      <c r="N19" s="17">
        <v>-0.08338160893905101</v>
      </c>
      <c r="O19" s="17">
        <v>-0.1957959297959724</v>
      </c>
      <c r="P19" s="17">
        <v>-0.20877231401523696</v>
      </c>
      <c r="Q19" s="17">
        <v>0.1578153851557219</v>
      </c>
      <c r="R19" s="21"/>
      <c r="S19" s="21"/>
      <c r="T19" s="21"/>
      <c r="U19" s="31"/>
      <c r="V19" s="31"/>
      <c r="W19" s="31"/>
      <c r="X19" s="31"/>
      <c r="Y19" s="31"/>
      <c r="Z19" s="31"/>
      <c r="AA19" s="31"/>
      <c r="AB19" s="3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</row>
    <row x14ac:dyDescent="0.25" r="20" customHeight="1" ht="16.5">
      <c r="A20" s="21"/>
      <c r="B20" s="14">
        <v>19</v>
      </c>
      <c r="C20" s="15" t="s">
        <v>51</v>
      </c>
      <c r="D20" s="48">
        <v>0.33351</v>
      </c>
      <c r="E20" s="48">
        <v>0.85189</v>
      </c>
      <c r="F20" s="48">
        <v>0.38583</v>
      </c>
      <c r="G20" s="48">
        <v>0.36725</v>
      </c>
      <c r="H20" s="17">
        <f>LN(D20)</f>
      </c>
      <c r="I20" s="17">
        <f>LN(E20)</f>
      </c>
      <c r="J20" s="17">
        <f>LN(F20)</f>
      </c>
      <c r="K20" s="17">
        <f>LN(G20)</f>
      </c>
      <c r="L20" s="31"/>
      <c r="M20" s="53" t="s">
        <v>49</v>
      </c>
      <c r="N20" s="17">
        <v>1.8405782044179029</v>
      </c>
      <c r="O20" s="17">
        <v>0.899677493067012</v>
      </c>
      <c r="P20" s="17">
        <v>-0.010040234894415344</v>
      </c>
      <c r="Q20" s="17">
        <v>1.7974847153508766</v>
      </c>
      <c r="R20" s="21"/>
      <c r="S20" s="21"/>
      <c r="T20" s="21"/>
      <c r="U20" s="31"/>
      <c r="V20" s="31"/>
      <c r="W20" s="31"/>
      <c r="X20" s="31"/>
      <c r="Y20" s="31"/>
      <c r="Z20" s="31"/>
      <c r="AA20" s="31"/>
      <c r="AB20" s="3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</row>
    <row x14ac:dyDescent="0.25" r="21" customHeight="1" ht="16.5">
      <c r="A21" s="21"/>
      <c r="B21" s="23">
        <v>20</v>
      </c>
      <c r="C21" s="24" t="s">
        <v>52</v>
      </c>
      <c r="D21" s="48">
        <v>1.03499</v>
      </c>
      <c r="E21" s="48">
        <v>0.91584</v>
      </c>
      <c r="F21" s="48">
        <v>0.35154</v>
      </c>
      <c r="G21" s="48">
        <v>0.36047</v>
      </c>
      <c r="H21" s="17">
        <f>LN(D21)</f>
      </c>
      <c r="I21" s="17">
        <f>LN(E21)</f>
      </c>
      <c r="J21" s="17">
        <f>LN(F21)</f>
      </c>
      <c r="K21" s="17">
        <f>LN(G21)</f>
      </c>
      <c r="L21" s="31"/>
      <c r="M21" s="53" t="s">
        <v>50</v>
      </c>
      <c r="N21" s="17">
        <v>-0.10166734382020877</v>
      </c>
      <c r="O21" s="17">
        <v>0.013005066334869296</v>
      </c>
      <c r="P21" s="17">
        <v>-0.9598508466265345</v>
      </c>
      <c r="Q21" s="17">
        <v>0.15519013940192078</v>
      </c>
      <c r="R21" s="21"/>
      <c r="S21" s="21"/>
      <c r="T21" s="21"/>
      <c r="U21" s="31"/>
      <c r="V21" s="31"/>
      <c r="W21" s="31"/>
      <c r="X21" s="31"/>
      <c r="Y21" s="31"/>
      <c r="Z21" s="31"/>
      <c r="AA21" s="31"/>
      <c r="AB21" s="3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</row>
    <row x14ac:dyDescent="0.25" r="22" customHeight="1" ht="16.5">
      <c r="A22" s="21"/>
      <c r="B22" s="23">
        <v>21</v>
      </c>
      <c r="C22" s="24" t="s">
        <v>53</v>
      </c>
      <c r="D22" s="48">
        <v>0.70117</v>
      </c>
      <c r="E22" s="48">
        <v>1.5334</v>
      </c>
      <c r="F22" s="48">
        <v>0.56994</v>
      </c>
      <c r="G22" s="48">
        <v>0.81727</v>
      </c>
      <c r="H22" s="17">
        <f>LN(D22)</f>
      </c>
      <c r="I22" s="17">
        <f>LN(E22)</f>
      </c>
      <c r="J22" s="17">
        <f>LN(F22)</f>
      </c>
      <c r="K22" s="17">
        <f>LN(G22)</f>
      </c>
      <c r="L22" s="31"/>
      <c r="M22" s="53" t="s">
        <v>51</v>
      </c>
      <c r="N22" s="17">
        <v>-1.0980824290685038</v>
      </c>
      <c r="O22" s="17">
        <v>-0.16029786846919478</v>
      </c>
      <c r="P22" s="17">
        <v>-0.952358421036032</v>
      </c>
      <c r="Q22" s="17">
        <v>-1.0017124639281503</v>
      </c>
      <c r="R22" s="21"/>
      <c r="S22" s="21"/>
      <c r="T22" s="21"/>
      <c r="U22" s="31"/>
      <c r="V22" s="31"/>
      <c r="W22" s="31"/>
      <c r="X22" s="31"/>
      <c r="Y22" s="31"/>
      <c r="Z22" s="31"/>
      <c r="AA22" s="31"/>
      <c r="AB22" s="3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</row>
    <row x14ac:dyDescent="0.25" r="23" customHeight="1" ht="16.5">
      <c r="A23" s="21"/>
      <c r="B23" s="23">
        <v>23</v>
      </c>
      <c r="C23" s="24" t="s">
        <v>54</v>
      </c>
      <c r="D23" s="48">
        <v>1.63096</v>
      </c>
      <c r="E23" s="48">
        <v>1.01579</v>
      </c>
      <c r="F23" s="48">
        <v>1.49717</v>
      </c>
      <c r="G23" s="48">
        <v>1.37681</v>
      </c>
      <c r="H23" s="17">
        <f>LN(D23)</f>
      </c>
      <c r="I23" s="17">
        <f>LN(E23)</f>
      </c>
      <c r="J23" s="17">
        <f>LN(F23)</f>
      </c>
      <c r="K23" s="17">
        <f>LN(G23)</f>
      </c>
      <c r="L23" s="31"/>
      <c r="M23" s="53" t="s">
        <v>54</v>
      </c>
      <c r="N23" s="17">
        <v>0.48916879850674644</v>
      </c>
      <c r="O23" s="17">
        <v>0.015666634878980172</v>
      </c>
      <c r="P23" s="17">
        <v>0.40357665944423277</v>
      </c>
      <c r="Q23" s="17">
        <v>0.3197692291078743</v>
      </c>
      <c r="R23" s="21"/>
      <c r="S23" s="21"/>
      <c r="T23" s="21"/>
      <c r="U23" s="31"/>
      <c r="V23" s="31"/>
      <c r="W23" s="31"/>
      <c r="X23" s="31"/>
      <c r="Y23" s="31"/>
      <c r="Z23" s="31"/>
      <c r="AA23" s="31"/>
      <c r="AB23" s="3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</row>
    <row x14ac:dyDescent="0.25" r="24" customHeight="1" ht="16.5">
      <c r="A24" s="21"/>
      <c r="B24" s="23">
        <v>24</v>
      </c>
      <c r="C24" s="24" t="s">
        <v>55</v>
      </c>
      <c r="D24" s="48">
        <v>1.01886</v>
      </c>
      <c r="E24" s="48">
        <v>1.26329</v>
      </c>
      <c r="F24" s="48">
        <v>0.41494</v>
      </c>
      <c r="G24" s="48">
        <v>0.74359</v>
      </c>
      <c r="H24" s="17">
        <f>LN(D24)</f>
      </c>
      <c r="I24" s="17">
        <f>LN(E24)</f>
      </c>
      <c r="J24" s="17">
        <f>LN(F24)</f>
      </c>
      <c r="K24" s="17">
        <f>LN(G24)</f>
      </c>
      <c r="L24" s="31"/>
      <c r="M24" s="53" t="s">
        <v>55</v>
      </c>
      <c r="N24" s="17">
        <v>0.018684355204127798</v>
      </c>
      <c r="O24" s="17">
        <v>0.233719429046383</v>
      </c>
      <c r="P24" s="17">
        <v>-0.8796213475171436</v>
      </c>
      <c r="Q24" s="17">
        <v>-0.2962654713156457</v>
      </c>
      <c r="R24" s="21"/>
      <c r="S24" s="21"/>
      <c r="T24" s="21"/>
      <c r="U24" s="31"/>
      <c r="V24" s="31"/>
      <c r="W24" s="31"/>
      <c r="X24" s="31"/>
      <c r="Y24" s="31"/>
      <c r="Z24" s="31"/>
      <c r="AA24" s="31"/>
      <c r="AB24" s="3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</row>
    <row x14ac:dyDescent="0.25" r="25" customHeight="1" ht="16.5">
      <c r="A25" s="21"/>
      <c r="B25" s="23">
        <v>25</v>
      </c>
      <c r="C25" s="24" t="s">
        <v>56</v>
      </c>
      <c r="D25" s="48">
        <v>0.67458</v>
      </c>
      <c r="E25" s="48">
        <v>0.86036</v>
      </c>
      <c r="F25" s="48">
        <v>0.84498</v>
      </c>
      <c r="G25" s="48">
        <v>0.61953</v>
      </c>
      <c r="H25" s="17">
        <f>LN(D25)</f>
      </c>
      <c r="I25" s="17">
        <f>LN(E25)</f>
      </c>
      <c r="J25" s="17">
        <f>LN(F25)</f>
      </c>
      <c r="K25" s="17">
        <f>LN(G25)</f>
      </c>
      <c r="L25" s="31"/>
      <c r="M25" s="53" t="s">
        <v>56</v>
      </c>
      <c r="N25" s="17">
        <v>-0.3936650039924139</v>
      </c>
      <c r="O25" s="17">
        <v>-0.1504043726739048</v>
      </c>
      <c r="P25" s="17">
        <v>-0.16844232054412317</v>
      </c>
      <c r="Q25" s="17">
        <v>-0.47879415293532696</v>
      </c>
      <c r="R25" s="21"/>
      <c r="S25" s="21"/>
      <c r="T25" s="21"/>
      <c r="U25" s="31"/>
      <c r="V25" s="31"/>
      <c r="W25" s="31"/>
      <c r="X25" s="31"/>
      <c r="Y25" s="31"/>
      <c r="Z25" s="31"/>
      <c r="AA25" s="31"/>
      <c r="AB25" s="3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</row>
    <row x14ac:dyDescent="0.25" r="26" customHeight="1" ht="16.5">
      <c r="A26" s="21"/>
      <c r="B26" s="23">
        <v>26</v>
      </c>
      <c r="C26" s="24" t="s">
        <v>57</v>
      </c>
      <c r="D26" s="48">
        <v>1.084</v>
      </c>
      <c r="E26" s="48">
        <v>1.27723</v>
      </c>
      <c r="F26" s="49">
        <v>0.22622</v>
      </c>
      <c r="G26" s="48">
        <v>1.37765</v>
      </c>
      <c r="H26" s="17">
        <f>LN(D26)</f>
      </c>
      <c r="I26" s="17">
        <f>LN(E26)</f>
      </c>
      <c r="J26" s="17">
        <f>LN(F26)</f>
      </c>
      <c r="K26" s="17">
        <f>LN(G26)</f>
      </c>
      <c r="L26" s="31"/>
      <c r="M26" s="53" t="s">
        <v>57</v>
      </c>
      <c r="N26" s="17">
        <v>0.08065790301745454</v>
      </c>
      <c r="O26" s="17">
        <v>0.24469367046455973</v>
      </c>
      <c r="P26" s="17">
        <v>-1.486247301878902</v>
      </c>
      <c r="Q26" s="17">
        <v>0.32037914903848874</v>
      </c>
      <c r="R26" s="21"/>
      <c r="S26" s="21"/>
      <c r="T26" s="21"/>
      <c r="U26" s="31"/>
      <c r="V26" s="31"/>
      <c r="W26" s="31"/>
      <c r="X26" s="31"/>
      <c r="Y26" s="31"/>
      <c r="Z26" s="31"/>
      <c r="AA26" s="31"/>
      <c r="AB26" s="3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</row>
    <row x14ac:dyDescent="0.25" r="27" customHeight="1" ht="16.5">
      <c r="A27" s="21"/>
      <c r="B27" s="23">
        <v>27</v>
      </c>
      <c r="C27" s="24" t="s">
        <v>58</v>
      </c>
      <c r="D27" s="48">
        <v>1.44523</v>
      </c>
      <c r="E27" s="48">
        <v>0.76287</v>
      </c>
      <c r="F27" s="48">
        <v>0.42567</v>
      </c>
      <c r="G27" s="48">
        <v>0.91813</v>
      </c>
      <c r="H27" s="17">
        <f>LN(D27)</f>
      </c>
      <c r="I27" s="17">
        <f>LN(E27)</f>
      </c>
      <c r="J27" s="17">
        <f>LN(F27)</f>
      </c>
      <c r="K27" s="17">
        <f>LN(G27)</f>
      </c>
      <c r="L27" s="31"/>
      <c r="M27" s="53" t="s">
        <v>58</v>
      </c>
      <c r="N27" s="17">
        <v>0.3682684784484397</v>
      </c>
      <c r="O27" s="17">
        <v>-0.27066764229265144</v>
      </c>
      <c r="P27" s="17">
        <v>-0.8540908807948054</v>
      </c>
      <c r="Q27" s="17">
        <v>-0.08541628618727198</v>
      </c>
      <c r="R27" s="21"/>
      <c r="S27" s="21"/>
      <c r="T27" s="21"/>
      <c r="U27" s="31"/>
      <c r="V27" s="31"/>
      <c r="W27" s="31"/>
      <c r="X27" s="31"/>
      <c r="Y27" s="31"/>
      <c r="Z27" s="31"/>
      <c r="AA27" s="31"/>
      <c r="AB27" s="3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</row>
    <row x14ac:dyDescent="0.25" r="28" customHeight="1" ht="16.5">
      <c r="A28" s="21"/>
      <c r="B28" s="23">
        <v>28</v>
      </c>
      <c r="C28" s="24" t="s">
        <v>59</v>
      </c>
      <c r="D28" s="48">
        <v>0.73122</v>
      </c>
      <c r="E28" s="48">
        <v>0.7282</v>
      </c>
      <c r="F28" s="48">
        <v>0.60119</v>
      </c>
      <c r="G28" s="48">
        <v>1.04948</v>
      </c>
      <c r="H28" s="17">
        <f>LN(D28)</f>
      </c>
      <c r="I28" s="17">
        <f>LN(E28)</f>
      </c>
      <c r="J28" s="17">
        <f>LN(F28)</f>
      </c>
      <c r="K28" s="17">
        <f>LN(G28)</f>
      </c>
      <c r="L28" s="31"/>
      <c r="M28" s="53" t="s">
        <v>59</v>
      </c>
      <c r="N28" s="17">
        <v>-0.3130409069186711</v>
      </c>
      <c r="O28" s="17">
        <v>-0.31717954324080405</v>
      </c>
      <c r="P28" s="17">
        <v>-0.508844254641521</v>
      </c>
      <c r="Q28" s="17">
        <v>0.04829480340330585</v>
      </c>
      <c r="R28" s="21"/>
      <c r="S28" s="21"/>
      <c r="T28" s="21"/>
      <c r="U28" s="31"/>
      <c r="V28" s="31"/>
      <c r="W28" s="31"/>
      <c r="X28" s="31"/>
      <c r="Y28" s="31"/>
      <c r="Z28" s="31"/>
      <c r="AA28" s="31"/>
      <c r="AB28" s="3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</row>
    <row x14ac:dyDescent="0.25" r="29" customHeight="1" ht="16.5">
      <c r="A29" s="21"/>
      <c r="B29" s="23">
        <v>29</v>
      </c>
      <c r="C29" s="24" t="s">
        <v>60</v>
      </c>
      <c r="D29" s="48">
        <v>0.39911</v>
      </c>
      <c r="E29" s="48">
        <v>0.84288</v>
      </c>
      <c r="F29" s="48">
        <v>0.73369</v>
      </c>
      <c r="G29" s="48">
        <v>0.82567</v>
      </c>
      <c r="H29" s="17">
        <f>LN(D29)</f>
      </c>
      <c r="I29" s="17">
        <f>LN(E29)</f>
      </c>
      <c r="J29" s="17">
        <f>LN(F29)</f>
      </c>
      <c r="K29" s="17">
        <f>LN(G29)</f>
      </c>
      <c r="L29" s="31"/>
      <c r="M29" s="53" t="s">
        <v>60</v>
      </c>
      <c r="N29" s="17">
        <v>-0.9185182108645067</v>
      </c>
      <c r="O29" s="17">
        <v>-0.17093067986727556</v>
      </c>
      <c r="P29" s="17">
        <v>-0.3096686829039336</v>
      </c>
      <c r="Q29" s="17">
        <v>-0.19156010102733273</v>
      </c>
      <c r="R29" s="21"/>
      <c r="S29" s="21"/>
      <c r="T29" s="21"/>
      <c r="U29" s="31"/>
      <c r="V29" s="31"/>
      <c r="W29" s="31"/>
      <c r="X29" s="31"/>
      <c r="Y29" s="31"/>
      <c r="Z29" s="31"/>
      <c r="AA29" s="31"/>
      <c r="AB29" s="3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</row>
    <row x14ac:dyDescent="0.25" r="30" customHeight="1" ht="16.5" customFormat="1" s="1">
      <c r="A30" s="3"/>
      <c r="B30" s="14"/>
      <c r="C30" s="15"/>
      <c r="D30" s="4"/>
      <c r="E30" s="4"/>
      <c r="F30" s="41"/>
      <c r="G30" s="4"/>
      <c r="H30" s="4"/>
      <c r="I30" s="4"/>
      <c r="J30" s="4"/>
      <c r="K30" s="4"/>
      <c r="L30" s="4"/>
      <c r="M30" s="47"/>
      <c r="N30" s="4"/>
      <c r="O30" s="4"/>
      <c r="P30" s="4"/>
      <c r="Q30" s="4"/>
      <c r="R30" s="3"/>
      <c r="S30" s="3"/>
      <c r="T30" s="3"/>
      <c r="U30" s="4"/>
      <c r="V30" s="4"/>
      <c r="W30" s="4"/>
      <c r="X30" s="4"/>
      <c r="Y30" s="4"/>
      <c r="Z30" s="4"/>
      <c r="AA30" s="4"/>
      <c r="AB30" s="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x14ac:dyDescent="0.25" r="31" customHeight="1" ht="16.5" customFormat="1" s="1">
      <c r="A31" s="3"/>
      <c r="B31" s="14"/>
      <c r="C31" s="15"/>
      <c r="D31" s="4"/>
      <c r="E31" s="4"/>
      <c r="F31" s="41"/>
      <c r="G31" s="4"/>
      <c r="H31" s="4"/>
      <c r="I31" s="4"/>
      <c r="J31" s="4"/>
      <c r="K31" s="4"/>
      <c r="L31" s="4"/>
      <c r="M31" s="47"/>
      <c r="N31" s="4"/>
      <c r="O31" s="4"/>
      <c r="P31" s="4"/>
      <c r="Q31" s="4"/>
      <c r="R31" s="3"/>
      <c r="S31" s="3"/>
      <c r="T31" s="3"/>
      <c r="U31" s="4"/>
      <c r="V31" s="4"/>
      <c r="W31" s="4"/>
      <c r="X31" s="4"/>
      <c r="Y31" s="4"/>
      <c r="Z31" s="4"/>
      <c r="AA31" s="4"/>
      <c r="AB31" s="4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x14ac:dyDescent="0.25" r="32" customHeight="1" ht="16.5">
      <c r="A32" s="21"/>
      <c r="B32" s="2"/>
      <c r="C32" s="3"/>
      <c r="D32" s="4"/>
      <c r="E32" s="4"/>
      <c r="F32" s="4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21"/>
      <c r="S32" s="21"/>
      <c r="T32" s="21"/>
      <c r="U32" s="31"/>
      <c r="V32" s="31"/>
      <c r="W32" s="31"/>
      <c r="X32" s="31"/>
      <c r="Y32" s="31"/>
      <c r="Z32" s="31"/>
      <c r="AA32" s="31"/>
      <c r="AB32" s="3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</row>
    <row x14ac:dyDescent="0.25" r="33" customHeight="1" ht="16.5">
      <c r="A33" s="21"/>
      <c r="B33" s="2"/>
      <c r="C33" s="3"/>
      <c r="D33" s="4"/>
      <c r="E33" s="4"/>
      <c r="F33" s="4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21"/>
      <c r="S33" s="21"/>
      <c r="T33" s="21"/>
      <c r="U33" s="31"/>
      <c r="V33" s="31"/>
      <c r="W33" s="31"/>
      <c r="X33" s="31"/>
      <c r="Y33" s="31"/>
      <c r="Z33" s="31"/>
      <c r="AA33" s="31"/>
      <c r="AB33" s="3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</row>
    <row x14ac:dyDescent="0.25" r="34" customHeight="1" ht="16.5" customFormat="1" s="1">
      <c r="A34" s="3"/>
      <c r="B34" s="2"/>
      <c r="C34" s="3"/>
      <c r="D34" s="4"/>
      <c r="E34" s="47"/>
      <c r="F34" s="54"/>
      <c r="G34" s="4" t="s">
        <v>74</v>
      </c>
      <c r="H34" s="4" t="s">
        <v>75</v>
      </c>
      <c r="I34" s="4" t="s">
        <v>76</v>
      </c>
      <c r="J34" s="4" t="s">
        <v>77</v>
      </c>
      <c r="K34" s="4" t="s">
        <v>78</v>
      </c>
      <c r="L34" s="4" t="s">
        <v>79</v>
      </c>
      <c r="M34" s="4" t="s">
        <v>80</v>
      </c>
      <c r="N34" s="4" t="s">
        <v>81</v>
      </c>
      <c r="O34" s="4"/>
      <c r="P34" s="4"/>
      <c r="Q34" s="4"/>
      <c r="R34" s="3"/>
      <c r="S34" s="3"/>
      <c r="T34" s="3"/>
      <c r="U34" s="4"/>
      <c r="V34" s="4"/>
      <c r="W34" s="4"/>
      <c r="X34" s="4"/>
      <c r="Y34" s="4"/>
      <c r="Z34" s="4"/>
      <c r="AA34" s="4"/>
      <c r="AB34" s="4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x14ac:dyDescent="0.25" r="35" customHeight="1" ht="16.5">
      <c r="A35" s="21"/>
      <c r="B35" s="2"/>
      <c r="C35" s="3"/>
      <c r="D35" s="4"/>
      <c r="E35" s="47"/>
      <c r="F35" s="55"/>
      <c r="G35" s="17">
        <v>-0.7067594079798073</v>
      </c>
      <c r="H35" s="17">
        <v>0.03439176483490784</v>
      </c>
      <c r="I35" s="17">
        <v>0.5509036616190982</v>
      </c>
      <c r="J35" s="17">
        <v>-0.08791360205410567</v>
      </c>
      <c r="K35" s="17">
        <v>2.6666134343148706</v>
      </c>
      <c r="L35" s="17">
        <v>-1.0454317761973848</v>
      </c>
      <c r="M35" s="17">
        <v>0.40122948383649143</v>
      </c>
      <c r="N35" s="17">
        <v>-1.0203465434730432</v>
      </c>
      <c r="O35" s="31"/>
      <c r="P35" s="31"/>
      <c r="Q35" s="31"/>
      <c r="R35" s="21"/>
      <c r="S35" s="21"/>
      <c r="T35" s="21"/>
      <c r="U35" s="31"/>
      <c r="V35" s="31"/>
      <c r="W35" s="31"/>
      <c r="X35" s="31"/>
      <c r="Y35" s="31"/>
      <c r="Z35" s="31"/>
      <c r="AA35" s="31"/>
      <c r="AB35" s="3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</row>
    <row x14ac:dyDescent="0.25" r="36" customHeight="1" ht="16.5">
      <c r="A36" s="21"/>
      <c r="B36" s="2"/>
      <c r="C36" s="3"/>
      <c r="D36" s="4"/>
      <c r="E36" s="47"/>
      <c r="F36" s="56"/>
      <c r="G36" s="17">
        <v>-0.15176519402897315</v>
      </c>
      <c r="H36" s="17">
        <v>-0.3550049106495119</v>
      </c>
      <c r="I36" s="17">
        <v>0.34351168716241504</v>
      </c>
      <c r="J36" s="17">
        <v>0.4274874921426571</v>
      </c>
      <c r="K36" s="17">
        <v>-0.07462656813983952</v>
      </c>
      <c r="L36" s="17">
        <v>-0.5622241868519909</v>
      </c>
      <c r="M36" s="17">
        <v>0.06270246161140056</v>
      </c>
      <c r="N36" s="17">
        <v>-0.20178576136156634</v>
      </c>
      <c r="O36" s="31"/>
      <c r="P36" s="31"/>
      <c r="Q36" s="31"/>
      <c r="R36" s="21"/>
      <c r="S36" s="21"/>
      <c r="T36" s="21"/>
      <c r="U36" s="31"/>
      <c r="V36" s="31"/>
      <c r="W36" s="31"/>
      <c r="X36" s="31"/>
      <c r="Y36" s="31"/>
      <c r="Z36" s="31"/>
      <c r="AA36" s="31"/>
      <c r="AB36" s="3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</row>
    <row x14ac:dyDescent="0.25" r="37" customHeight="1" ht="16.5">
      <c r="A37" s="21"/>
      <c r="B37" s="2"/>
      <c r="C37" s="3"/>
      <c r="D37" s="4"/>
      <c r="E37" s="47"/>
      <c r="F37" s="57"/>
      <c r="G37" s="17">
        <v>0.14125647717535533</v>
      </c>
      <c r="H37" s="17">
        <v>0.48916879850674644</v>
      </c>
      <c r="I37" s="17">
        <v>1.0339635392334008</v>
      </c>
      <c r="J37" s="17">
        <v>0.015666634878980172</v>
      </c>
      <c r="K37" s="17">
        <v>-0.6562368265398482</v>
      </c>
      <c r="L37" s="17">
        <v>0.40357665944423277</v>
      </c>
      <c r="M37" s="17">
        <v>0.6785765425069635</v>
      </c>
      <c r="N37" s="17">
        <v>0.3197692291078743</v>
      </c>
      <c r="O37" s="31"/>
      <c r="P37" s="31"/>
      <c r="Q37" s="31"/>
      <c r="R37" s="21"/>
      <c r="S37" s="21"/>
      <c r="T37" s="21"/>
      <c r="U37" s="31"/>
      <c r="V37" s="31"/>
      <c r="W37" s="31"/>
      <c r="X37" s="31"/>
      <c r="Y37" s="31"/>
      <c r="Z37" s="31"/>
      <c r="AA37" s="31"/>
      <c r="AB37" s="3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x14ac:dyDescent="0.25" r="38" customHeight="1" ht="16.5">
      <c r="A38" s="21"/>
      <c r="B38" s="2"/>
      <c r="C38" s="3"/>
      <c r="D38" s="4"/>
      <c r="E38" s="47"/>
      <c r="F38" s="56"/>
      <c r="G38" s="17">
        <v>-0.52698888160841</v>
      </c>
      <c r="H38" s="17">
        <v>0.018684355204127798</v>
      </c>
      <c r="I38" s="17">
        <v>-0.37305116236972774</v>
      </c>
      <c r="J38" s="17">
        <v>0.233719429046383</v>
      </c>
      <c r="K38" s="17">
        <v>-1.950802095135741</v>
      </c>
      <c r="L38" s="17">
        <v>-0.8796213475171436</v>
      </c>
      <c r="M38" s="17">
        <v>-0.6893942316906381</v>
      </c>
      <c r="N38" s="17">
        <v>-0.2962654713156457</v>
      </c>
      <c r="O38" s="31"/>
      <c r="P38" s="31"/>
      <c r="Q38" s="31"/>
      <c r="R38" s="21"/>
      <c r="S38" s="21"/>
      <c r="T38" s="21"/>
      <c r="U38" s="31"/>
      <c r="V38" s="31"/>
      <c r="W38" s="31"/>
      <c r="X38" s="31"/>
      <c r="Y38" s="31"/>
      <c r="Z38" s="31"/>
      <c r="AA38" s="31"/>
      <c r="AB38" s="3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x14ac:dyDescent="0.25" r="39" customHeight="1" ht="16.5">
      <c r="A39" s="21"/>
      <c r="B39" s="2"/>
      <c r="C39" s="3"/>
      <c r="D39" s="4"/>
      <c r="E39" s="47"/>
      <c r="F39" s="57"/>
      <c r="G39" s="17">
        <v>-0.2883889889250301</v>
      </c>
      <c r="H39" s="17">
        <v>-0.3936650039924139</v>
      </c>
      <c r="I39" s="17">
        <v>-0.97970987974381</v>
      </c>
      <c r="J39" s="17">
        <v>-0.1504043726739048</v>
      </c>
      <c r="K39" s="17">
        <v>-1.336438098768461</v>
      </c>
      <c r="L39" s="17">
        <v>-0.16844232054412317</v>
      </c>
      <c r="M39" s="17">
        <v>-0.660408971972172</v>
      </c>
      <c r="N39" s="17">
        <v>-0.47879415293532696</v>
      </c>
      <c r="O39" s="31"/>
      <c r="P39" s="31"/>
      <c r="Q39" s="31"/>
      <c r="R39" s="21"/>
      <c r="S39" s="21"/>
      <c r="T39" s="21"/>
      <c r="U39" s="31"/>
      <c r="V39" s="31"/>
      <c r="W39" s="31"/>
      <c r="X39" s="31"/>
      <c r="Y39" s="31"/>
      <c r="Z39" s="31"/>
      <c r="AA39" s="31"/>
      <c r="AB39" s="3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</row>
    <row x14ac:dyDescent="0.25" r="40" customHeight="1" ht="16.5">
      <c r="A40" s="21"/>
      <c r="B40" s="2"/>
      <c r="C40" s="3"/>
      <c r="D40" s="4"/>
      <c r="E40" s="47"/>
      <c r="F40" s="56"/>
      <c r="G40" s="17">
        <v>-0.6189677823856938</v>
      </c>
      <c r="H40" s="17">
        <v>0.08065790301745454</v>
      </c>
      <c r="I40" s="17">
        <v>-0.15466748001213876</v>
      </c>
      <c r="J40" s="17">
        <v>0.24469367046455973</v>
      </c>
      <c r="K40" s="17">
        <v>-1.589831382795182</v>
      </c>
      <c r="L40" s="17">
        <v>-1.486247301878902</v>
      </c>
      <c r="M40" s="17">
        <v>-0.598182514984242</v>
      </c>
      <c r="N40" s="17">
        <v>0.32037914903848874</v>
      </c>
      <c r="O40" s="31"/>
      <c r="P40" s="31"/>
      <c r="Q40" s="31"/>
      <c r="R40" s="21"/>
      <c r="S40" s="21"/>
      <c r="T40" s="21"/>
      <c r="U40" s="31"/>
      <c r="V40" s="31"/>
      <c r="W40" s="31"/>
      <c r="X40" s="31"/>
      <c r="Y40" s="31"/>
      <c r="Z40" s="31"/>
      <c r="AA40" s="31"/>
      <c r="AB40" s="3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</row>
    <row x14ac:dyDescent="0.25" r="41" customHeight="1" ht="16.5">
      <c r="A41" s="21"/>
      <c r="B41" s="2"/>
      <c r="C41" s="3"/>
      <c r="D41" s="4"/>
      <c r="E41" s="47"/>
      <c r="F41" s="56"/>
      <c r="G41" s="17">
        <v>-0.5825185657361341</v>
      </c>
      <c r="H41" s="17">
        <v>0.3682684784484397</v>
      </c>
      <c r="I41" s="17">
        <v>-0.0872477685642802</v>
      </c>
      <c r="J41" s="17">
        <v>-0.27066764229265144</v>
      </c>
      <c r="K41" s="17">
        <v>-0.2989722338104431</v>
      </c>
      <c r="L41" s="17">
        <v>-0.8540908807948054</v>
      </c>
      <c r="M41" s="17">
        <v>-0.5953129162115907</v>
      </c>
      <c r="N41" s="17">
        <v>-0.08541628618727198</v>
      </c>
      <c r="O41" s="31"/>
      <c r="P41" s="31"/>
      <c r="Q41" s="31"/>
      <c r="R41" s="21"/>
      <c r="S41" s="21"/>
      <c r="T41" s="21"/>
      <c r="U41" s="31"/>
      <c r="V41" s="31"/>
      <c r="W41" s="31"/>
      <c r="X41" s="31"/>
      <c r="Y41" s="31"/>
      <c r="Z41" s="31"/>
      <c r="AA41" s="31"/>
      <c r="AB41" s="3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</row>
    <row x14ac:dyDescent="0.25" r="42" customHeight="1" ht="16.5">
      <c r="A42" s="21"/>
      <c r="B42" s="2"/>
      <c r="C42" s="3"/>
      <c r="D42" s="4"/>
      <c r="E42" s="47"/>
      <c r="F42" s="56"/>
      <c r="G42" s="17">
        <v>-0.004831653662181228</v>
      </c>
      <c r="H42" s="17">
        <v>-0.3130409069186711</v>
      </c>
      <c r="I42" s="17">
        <v>0.16099577007920216</v>
      </c>
      <c r="J42" s="17">
        <v>-0.31717954324080405</v>
      </c>
      <c r="K42" s="17">
        <v>0.5178826641772437</v>
      </c>
      <c r="L42" s="17">
        <v>-0.508844254641521</v>
      </c>
      <c r="M42" s="17">
        <v>0.3339977490290522</v>
      </c>
      <c r="N42" s="17">
        <v>0.04829480340330585</v>
      </c>
      <c r="O42" s="31"/>
      <c r="P42" s="31"/>
      <c r="Q42" s="31"/>
      <c r="R42" s="21"/>
      <c r="S42" s="21"/>
      <c r="T42" s="21"/>
      <c r="U42" s="31"/>
      <c r="V42" s="31"/>
      <c r="W42" s="31"/>
      <c r="X42" s="31"/>
      <c r="Y42" s="31"/>
      <c r="Z42" s="31"/>
      <c r="AA42" s="31"/>
      <c r="AB42" s="3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</row>
    <row x14ac:dyDescent="0.25" r="43" customHeight="1" ht="16.5">
      <c r="A43" s="21"/>
      <c r="B43" s="2"/>
      <c r="C43" s="3"/>
      <c r="D43" s="4"/>
      <c r="E43" s="47"/>
      <c r="F43" s="56"/>
      <c r="G43" s="17">
        <v>1.0997915930153028</v>
      </c>
      <c r="H43" s="17">
        <v>-0.9185182108645067</v>
      </c>
      <c r="I43" s="17">
        <v>0.5985177689803405</v>
      </c>
      <c r="J43" s="17">
        <v>-0.17093067986727556</v>
      </c>
      <c r="K43" s="17">
        <v>0.8497491392610644</v>
      </c>
      <c r="L43" s="17">
        <v>-0.3096686829039336</v>
      </c>
      <c r="M43" s="17">
        <v>0.53671556804909</v>
      </c>
      <c r="N43" s="17">
        <v>-0.19156010102733273</v>
      </c>
      <c r="O43" s="31"/>
      <c r="P43" s="31"/>
      <c r="Q43" s="31"/>
      <c r="R43" s="21"/>
      <c r="S43" s="21"/>
      <c r="T43" s="21"/>
      <c r="U43" s="31"/>
      <c r="V43" s="31"/>
      <c r="W43" s="31"/>
      <c r="X43" s="31"/>
      <c r="Y43" s="31"/>
      <c r="Z43" s="31"/>
      <c r="AA43" s="31"/>
      <c r="AB43" s="3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</row>
    <row x14ac:dyDescent="0.25" r="44" customHeight="1" ht="16.5">
      <c r="A44" s="21"/>
      <c r="B44" s="2"/>
      <c r="C44" s="3"/>
      <c r="D44" s="4"/>
      <c r="E44" s="47"/>
      <c r="F44" s="56"/>
      <c r="G44" s="17">
        <v>-0.9384596566452169</v>
      </c>
      <c r="H44" s="31"/>
      <c r="I44" s="17">
        <v>-0.8825900337015214</v>
      </c>
      <c r="J44" s="31"/>
      <c r="K44" s="17">
        <v>2.537209684216448</v>
      </c>
      <c r="L44" s="31"/>
      <c r="M44" s="17">
        <v>-0.3152314283170233</v>
      </c>
      <c r="N44" s="31"/>
      <c r="O44" s="31"/>
      <c r="P44" s="31"/>
      <c r="Q44" s="31"/>
      <c r="R44" s="21"/>
      <c r="S44" s="21"/>
      <c r="T44" s="21"/>
      <c r="U44" s="31"/>
      <c r="V44" s="31"/>
      <c r="W44" s="31"/>
      <c r="X44" s="31"/>
      <c r="Y44" s="31"/>
      <c r="Z44" s="31"/>
      <c r="AA44" s="31"/>
      <c r="AB44" s="3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</row>
    <row x14ac:dyDescent="0.25" r="45" customHeight="1" ht="16.5">
      <c r="A45" s="21"/>
      <c r="B45" s="2"/>
      <c r="C45" s="3"/>
      <c r="D45" s="4"/>
      <c r="E45" s="47"/>
      <c r="F45" s="56"/>
      <c r="G45" s="17">
        <v>-0.584759252144113</v>
      </c>
      <c r="H45" s="31"/>
      <c r="I45" s="17">
        <v>-0.3175229144628022</v>
      </c>
      <c r="J45" s="31"/>
      <c r="K45" s="17">
        <v>1.1323500491529683</v>
      </c>
      <c r="L45" s="31"/>
      <c r="M45" s="17">
        <v>-0.39618827132795514</v>
      </c>
      <c r="N45" s="31"/>
      <c r="O45" s="31"/>
      <c r="P45" s="31"/>
      <c r="Q45" s="31"/>
      <c r="R45" s="21"/>
      <c r="S45" s="21"/>
      <c r="T45" s="21"/>
      <c r="U45" s="31"/>
      <c r="V45" s="31"/>
      <c r="W45" s="31"/>
      <c r="X45" s="31"/>
      <c r="Y45" s="31"/>
      <c r="Z45" s="31"/>
      <c r="AA45" s="31"/>
      <c r="AB45" s="3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x14ac:dyDescent="0.25" r="46" customHeight="1" ht="16.5">
      <c r="A46" s="21"/>
      <c r="B46" s="2"/>
      <c r="C46" s="3"/>
      <c r="D46" s="4"/>
      <c r="E46" s="47"/>
      <c r="F46" s="56"/>
      <c r="G46" s="17">
        <v>-0.806002377980032</v>
      </c>
      <c r="H46" s="31"/>
      <c r="I46" s="17">
        <v>0.9290489979728177</v>
      </c>
      <c r="J46" s="31"/>
      <c r="K46" s="17">
        <v>0.5577969920713949</v>
      </c>
      <c r="L46" s="31"/>
      <c r="M46" s="17">
        <v>-0.28469985701331557</v>
      </c>
      <c r="N46" s="31"/>
      <c r="O46" s="31"/>
      <c r="P46" s="31"/>
      <c r="Q46" s="31"/>
      <c r="R46" s="21"/>
      <c r="S46" s="21"/>
      <c r="T46" s="21"/>
      <c r="U46" s="31"/>
      <c r="V46" s="31"/>
      <c r="W46" s="31"/>
      <c r="X46" s="31"/>
      <c r="Y46" s="31"/>
      <c r="Z46" s="31"/>
      <c r="AA46" s="31"/>
      <c r="AB46" s="3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x14ac:dyDescent="0.25" r="47" customHeight="1" ht="16.5">
      <c r="A47" s="21"/>
      <c r="B47" s="2"/>
      <c r="C47" s="3"/>
      <c r="D47" s="4"/>
      <c r="E47" s="47"/>
      <c r="F47" s="56"/>
      <c r="G47" s="17">
        <v>-0.6161491030726342</v>
      </c>
      <c r="H47" s="31"/>
      <c r="I47" s="17">
        <v>0.23510374223292405</v>
      </c>
      <c r="J47" s="31"/>
      <c r="K47" s="17">
        <v>2.1118857402655213</v>
      </c>
      <c r="L47" s="31"/>
      <c r="M47" s="17">
        <v>-1.0224293279358223</v>
      </c>
      <c r="N47" s="31"/>
      <c r="O47" s="31"/>
      <c r="P47" s="31"/>
      <c r="Q47" s="31"/>
      <c r="R47" s="21"/>
      <c r="S47" s="21"/>
      <c r="T47" s="21"/>
      <c r="U47" s="31"/>
      <c r="V47" s="31"/>
      <c r="W47" s="31"/>
      <c r="X47" s="31"/>
      <c r="Y47" s="31"/>
      <c r="Z47" s="31"/>
      <c r="AA47" s="31"/>
      <c r="AB47" s="3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</row>
    <row x14ac:dyDescent="0.25" r="48" customHeight="1" ht="16.5">
      <c r="A48" s="21"/>
      <c r="B48" s="2"/>
      <c r="C48" s="3"/>
      <c r="D48" s="4"/>
      <c r="E48" s="47"/>
      <c r="F48" s="56"/>
      <c r="G48" s="17">
        <v>-0.5297196639524778</v>
      </c>
      <c r="H48" s="31"/>
      <c r="I48" s="17">
        <v>-0.030799471553528406</v>
      </c>
      <c r="J48" s="31"/>
      <c r="K48" s="17">
        <v>-0.1634134471064434</v>
      </c>
      <c r="L48" s="31"/>
      <c r="M48" s="17">
        <v>-0.658919682010718</v>
      </c>
      <c r="N48" s="31"/>
      <c r="O48" s="31"/>
      <c r="P48" s="31"/>
      <c r="Q48" s="31"/>
      <c r="R48" s="21"/>
      <c r="S48" s="21"/>
      <c r="T48" s="21"/>
      <c r="U48" s="31"/>
      <c r="V48" s="31"/>
      <c r="W48" s="31"/>
      <c r="X48" s="31"/>
      <c r="Y48" s="31"/>
      <c r="Z48" s="31"/>
      <c r="AA48" s="31"/>
      <c r="AB48" s="3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</row>
    <row x14ac:dyDescent="0.25" r="49" customHeight="1" ht="16.5">
      <c r="A49" s="21"/>
      <c r="B49" s="2"/>
      <c r="C49" s="3"/>
      <c r="D49" s="4"/>
      <c r="E49" s="47"/>
      <c r="F49" s="56"/>
      <c r="G49" s="17">
        <v>-0.15924195171810715</v>
      </c>
      <c r="H49" s="31"/>
      <c r="I49" s="17">
        <v>0.0033344345888722798</v>
      </c>
      <c r="J49" s="31"/>
      <c r="K49" s="17">
        <v>1.2072364727615323</v>
      </c>
      <c r="L49" s="31"/>
      <c r="M49" s="17">
        <v>0.121721934665025</v>
      </c>
      <c r="N49" s="31"/>
      <c r="O49" s="31"/>
      <c r="P49" s="31"/>
      <c r="Q49" s="31"/>
      <c r="R49" s="21"/>
      <c r="S49" s="21"/>
      <c r="T49" s="21"/>
      <c r="U49" s="31"/>
      <c r="V49" s="31"/>
      <c r="W49" s="31"/>
      <c r="X49" s="31"/>
      <c r="Y49" s="31"/>
      <c r="Z49" s="31"/>
      <c r="AA49" s="31"/>
      <c r="AB49" s="3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</row>
    <row x14ac:dyDescent="0.25" r="50" customHeight="1" ht="16.5">
      <c r="A50" s="21"/>
      <c r="B50" s="2"/>
      <c r="C50" s="3"/>
      <c r="D50" s="4"/>
      <c r="E50" s="47"/>
      <c r="F50" s="56"/>
      <c r="G50" s="17">
        <v>-0.08338160893905101</v>
      </c>
      <c r="H50" s="31"/>
      <c r="I50" s="17">
        <v>-0.1957959297959724</v>
      </c>
      <c r="J50" s="31"/>
      <c r="K50" s="17">
        <v>-0.20877231401523696</v>
      </c>
      <c r="L50" s="31"/>
      <c r="M50" s="17">
        <v>0.1578153851557219</v>
      </c>
      <c r="N50" s="31"/>
      <c r="O50" s="31"/>
      <c r="P50" s="31"/>
      <c r="Q50" s="31"/>
      <c r="R50" s="21"/>
      <c r="S50" s="21"/>
      <c r="T50" s="21"/>
      <c r="U50" s="31"/>
      <c r="V50" s="31"/>
      <c r="W50" s="31"/>
      <c r="X50" s="31"/>
      <c r="Y50" s="31"/>
      <c r="Z50" s="31"/>
      <c r="AA50" s="31"/>
      <c r="AB50" s="3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</row>
    <row x14ac:dyDescent="0.25" r="51" customHeight="1" ht="16.5">
      <c r="A51" s="21"/>
      <c r="B51" s="2"/>
      <c r="C51" s="3"/>
      <c r="D51" s="4"/>
      <c r="E51" s="47"/>
      <c r="F51" s="56"/>
      <c r="G51" s="17">
        <v>1.8405782044179029</v>
      </c>
      <c r="H51" s="31"/>
      <c r="I51" s="17">
        <v>0.899677493067012</v>
      </c>
      <c r="J51" s="31"/>
      <c r="K51" s="17">
        <v>-0.010040234894415344</v>
      </c>
      <c r="L51" s="31"/>
      <c r="M51" s="17">
        <v>1.7974847153508766</v>
      </c>
      <c r="N51" s="31"/>
      <c r="O51" s="31"/>
      <c r="P51" s="31"/>
      <c r="Q51" s="31"/>
      <c r="R51" s="21"/>
      <c r="S51" s="21"/>
      <c r="T51" s="21"/>
      <c r="U51" s="31"/>
      <c r="V51" s="31"/>
      <c r="W51" s="31"/>
      <c r="X51" s="31"/>
      <c r="Y51" s="31"/>
      <c r="Z51" s="31"/>
      <c r="AA51" s="31"/>
      <c r="AB51" s="3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x14ac:dyDescent="0.25" r="52" customHeight="1" ht="16.5">
      <c r="A52" s="21"/>
      <c r="B52" s="2"/>
      <c r="C52" s="3"/>
      <c r="D52" s="4"/>
      <c r="E52" s="47"/>
      <c r="F52" s="56"/>
      <c r="G52" s="17">
        <v>-0.10166734382020877</v>
      </c>
      <c r="H52" s="31"/>
      <c r="I52" s="17">
        <v>0.013005066334869296</v>
      </c>
      <c r="J52" s="31"/>
      <c r="K52" s="17">
        <v>-0.9598508466265345</v>
      </c>
      <c r="L52" s="31"/>
      <c r="M52" s="17">
        <v>0.15519013940192078</v>
      </c>
      <c r="N52" s="31"/>
      <c r="O52" s="31"/>
      <c r="P52" s="31"/>
      <c r="Q52" s="31"/>
      <c r="R52" s="21"/>
      <c r="S52" s="21"/>
      <c r="T52" s="21"/>
      <c r="U52" s="31"/>
      <c r="V52" s="31"/>
      <c r="W52" s="31"/>
      <c r="X52" s="31"/>
      <c r="Y52" s="31"/>
      <c r="Z52" s="31"/>
      <c r="AA52" s="31"/>
      <c r="AB52" s="3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x14ac:dyDescent="0.25" r="53" customHeight="1" ht="16.5">
      <c r="A53" s="21"/>
      <c r="B53" s="2"/>
      <c r="C53" s="3"/>
      <c r="D53" s="4"/>
      <c r="E53" s="53"/>
      <c r="F53" s="56"/>
      <c r="G53" s="17">
        <v>-1.0980824290685038</v>
      </c>
      <c r="H53" s="31"/>
      <c r="I53" s="17">
        <v>-0.16029786846919478</v>
      </c>
      <c r="J53" s="31"/>
      <c r="K53" s="17">
        <v>-0.952358421036032</v>
      </c>
      <c r="L53" s="31"/>
      <c r="M53" s="17">
        <v>-1.0017124639281503</v>
      </c>
      <c r="N53" s="31"/>
      <c r="O53" s="31"/>
      <c r="P53" s="31"/>
      <c r="Q53" s="31"/>
      <c r="R53" s="21"/>
      <c r="S53" s="21"/>
      <c r="T53" s="21"/>
      <c r="U53" s="31"/>
      <c r="V53" s="31"/>
      <c r="W53" s="31"/>
      <c r="X53" s="31"/>
      <c r="Y53" s="31"/>
      <c r="Z53" s="31"/>
      <c r="AA53" s="31"/>
      <c r="AB53" s="3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x14ac:dyDescent="0.25" r="54" customHeight="1" ht="16.5" customFormat="1" s="1">
      <c r="A54" s="3"/>
      <c r="B54" s="2"/>
      <c r="C54" s="3"/>
      <c r="D54" s="4"/>
      <c r="E54" s="53"/>
      <c r="F54" s="5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3"/>
      <c r="S54" s="3"/>
      <c r="T54" s="3"/>
      <c r="U54" s="4"/>
      <c r="V54" s="4"/>
      <c r="W54" s="4"/>
      <c r="X54" s="4"/>
      <c r="Y54" s="4"/>
      <c r="Z54" s="4"/>
      <c r="AA54" s="4"/>
      <c r="AB54" s="4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x14ac:dyDescent="0.25" r="55" customHeight="1" ht="16.5" customFormat="1" s="1">
      <c r="A55" s="3"/>
      <c r="B55" s="2"/>
      <c r="C55" s="3"/>
      <c r="D55" s="4"/>
      <c r="E55" s="53"/>
      <c r="F55" s="5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3"/>
      <c r="S55" s="3"/>
      <c r="T55" s="3"/>
      <c r="U55" s="4"/>
      <c r="V55" s="4"/>
      <c r="W55" s="4"/>
      <c r="X55" s="4"/>
      <c r="Y55" s="4"/>
      <c r="Z55" s="4"/>
      <c r="AA55" s="4"/>
      <c r="AB55" s="4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x14ac:dyDescent="0.25" r="56" customHeight="1" ht="16.5" customFormat="1" s="1">
      <c r="A56" s="3"/>
      <c r="B56" s="2"/>
      <c r="C56" s="3"/>
      <c r="D56" s="4"/>
      <c r="E56" s="53"/>
      <c r="F56" s="5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3"/>
      <c r="S56" s="3"/>
      <c r="T56" s="3"/>
      <c r="U56" s="4"/>
      <c r="V56" s="4"/>
      <c r="W56" s="4"/>
      <c r="X56" s="4"/>
      <c r="Y56" s="4"/>
      <c r="Z56" s="4"/>
      <c r="AA56" s="4"/>
      <c r="AB56" s="4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x14ac:dyDescent="0.25" r="57" customHeight="1" ht="16.5" customFormat="1" s="1">
      <c r="A57" s="3"/>
      <c r="B57" s="2"/>
      <c r="C57" s="3"/>
      <c r="D57" s="4"/>
      <c r="E57" s="53"/>
      <c r="F57" s="5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3"/>
      <c r="S57" s="3"/>
      <c r="T57" s="3"/>
      <c r="U57" s="4"/>
      <c r="V57" s="4"/>
      <c r="W57" s="4"/>
      <c r="X57" s="4"/>
      <c r="Y57" s="4"/>
      <c r="Z57" s="4"/>
      <c r="AA57" s="4"/>
      <c r="AB57" s="4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x14ac:dyDescent="0.25" r="58" customHeight="1" ht="16.5" customFormat="1" s="1">
      <c r="A58" s="3"/>
      <c r="B58" s="2"/>
      <c r="C58" s="3"/>
      <c r="D58" s="4"/>
      <c r="E58" s="53"/>
      <c r="F58" s="5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3"/>
      <c r="S58" s="3"/>
      <c r="T58" s="3"/>
      <c r="U58" s="4"/>
      <c r="V58" s="4"/>
      <c r="W58" s="4"/>
      <c r="X58" s="4"/>
      <c r="Y58" s="4"/>
      <c r="Z58" s="4"/>
      <c r="AA58" s="4"/>
      <c r="AB58" s="4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x14ac:dyDescent="0.25" r="59" customHeight="1" ht="16.5" customFormat="1" s="1">
      <c r="A59" s="3"/>
      <c r="B59" s="2"/>
      <c r="C59" s="3"/>
      <c r="D59" s="4"/>
      <c r="E59" s="53"/>
      <c r="F59" s="5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3"/>
      <c r="S59" s="3"/>
      <c r="T59" s="3"/>
      <c r="U59" s="4"/>
      <c r="V59" s="4"/>
      <c r="W59" s="4"/>
      <c r="X59" s="4"/>
      <c r="Y59" s="4"/>
      <c r="Z59" s="4"/>
      <c r="AA59" s="4"/>
      <c r="AB59" s="4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x14ac:dyDescent="0.25" r="60" customHeight="1" ht="16.5" customFormat="1" s="1">
      <c r="A60" s="3"/>
      <c r="B60" s="2"/>
      <c r="C60" s="3"/>
      <c r="D60" s="4"/>
      <c r="E60" s="53"/>
      <c r="F60" s="5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3"/>
      <c r="S60" s="3"/>
      <c r="T60" s="3"/>
      <c r="U60" s="4"/>
      <c r="V60" s="4"/>
      <c r="W60" s="4"/>
      <c r="X60" s="4"/>
      <c r="Y60" s="4"/>
      <c r="Z60" s="4"/>
      <c r="AA60" s="4"/>
      <c r="AB60" s="4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x14ac:dyDescent="0.25" r="61" customHeight="1" ht="16.5" customFormat="1" s="1">
      <c r="A61" s="3"/>
      <c r="B61" s="2"/>
      <c r="C61" s="3"/>
      <c r="D61" s="4"/>
      <c r="E61" s="53"/>
      <c r="F61" s="5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3"/>
      <c r="S61" s="3"/>
      <c r="T61" s="3"/>
      <c r="U61" s="4"/>
      <c r="V61" s="4"/>
      <c r="W61" s="4"/>
      <c r="X61" s="4"/>
      <c r="Y61" s="4"/>
      <c r="Z61" s="4"/>
      <c r="AA61" s="4"/>
      <c r="AB61" s="4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58"/>
  <sheetViews>
    <sheetView workbookViewId="0"/>
  </sheetViews>
  <sheetFormatPr defaultRowHeight="15" x14ac:dyDescent="0.25"/>
  <cols>
    <col min="1" max="1" style="34" width="11.862142857142858" customWidth="1" bestFit="1"/>
    <col min="2" max="2" style="35" width="13.005" customWidth="1" bestFit="1"/>
    <col min="3" max="3" style="36" width="11.862142857142858" customWidth="1" bestFit="1"/>
    <col min="4" max="4" style="36" width="11.862142857142858" customWidth="1" bestFit="1"/>
    <col min="5" max="5" style="36" width="11.862142857142858" customWidth="1" bestFit="1"/>
    <col min="6" max="6" style="36" width="11.862142857142858" customWidth="1" bestFit="1"/>
    <col min="7" max="7" style="36" width="11.862142857142858" customWidth="1" bestFit="1"/>
    <col min="8" max="8" style="36" width="11.862142857142858" customWidth="1" bestFit="1"/>
    <col min="9" max="9" style="37" width="11.862142857142858" customWidth="1" bestFit="1"/>
    <col min="10" max="10" style="37" width="11.862142857142858" customWidth="1" bestFit="1"/>
    <col min="11" max="11" style="38" width="11.862142857142858" customWidth="1" bestFit="1"/>
    <col min="12" max="12" style="37" width="11.862142857142858" customWidth="1" bestFit="1"/>
    <col min="13" max="13" style="38" width="16.290714285714284" customWidth="1" bestFit="1"/>
    <col min="14" max="14" style="37" width="14.862142857142858" customWidth="1" bestFit="1"/>
    <col min="15" max="15" style="38" width="17.433571428571426" customWidth="1" bestFit="1"/>
    <col min="16" max="16" style="37" width="22.862142857142857" customWidth="1" bestFit="1"/>
    <col min="17" max="17" style="38" width="11.862142857142858" customWidth="1" bestFit="1"/>
    <col min="18" max="18" style="37" width="11.862142857142858" customWidth="1" bestFit="1"/>
    <col min="19" max="19" style="39" width="11.862142857142858" customWidth="1" bestFit="1"/>
    <col min="20" max="20" style="39" width="11.862142857142858" customWidth="1" bestFit="1"/>
    <col min="21" max="21" style="37" width="11.862142857142858" customWidth="1" bestFit="1"/>
    <col min="22" max="22" style="37" width="11.862142857142858" customWidth="1" bestFit="1"/>
    <col min="23" max="23" style="37" width="11.862142857142858" customWidth="1" bestFit="1"/>
    <col min="24" max="24" style="35" width="13.005" customWidth="1" bestFit="1"/>
    <col min="25" max="25" style="39" width="11.862142857142858" customWidth="1" bestFit="1"/>
    <col min="26" max="26" style="39" width="11.862142857142858" customWidth="1" bestFit="1"/>
    <col min="27" max="27" style="39" width="11.862142857142858" customWidth="1" bestFit="1"/>
    <col min="28" max="28" style="39" width="11.862142857142858" customWidth="1" bestFit="1"/>
    <col min="29" max="29" style="39" width="11.862142857142858" customWidth="1" bestFit="1"/>
    <col min="30" max="30" style="39" width="11.862142857142858" customWidth="1" bestFit="1"/>
    <col min="31" max="31" style="39" width="11.862142857142858" customWidth="1" bestFit="1"/>
    <col min="32" max="32" style="39" width="11.862142857142858" customWidth="1" bestFit="1"/>
    <col min="33" max="33" style="40" width="11.862142857142858" customWidth="1" bestFit="1"/>
    <col min="34" max="34" style="40" width="11.862142857142858" customWidth="1" bestFit="1"/>
    <col min="35" max="35" style="40" width="11.862142857142858" customWidth="1" bestFit="1"/>
    <col min="36" max="36" style="40" width="11.862142857142858" customWidth="1" bestFit="1"/>
    <col min="37" max="37" style="40" width="11.862142857142858" customWidth="1" bestFit="1"/>
    <col min="38" max="38" style="40" width="11.862142857142858" customWidth="1" bestFit="1"/>
    <col min="39" max="39" style="40" width="11.862142857142858" customWidth="1" bestFit="1"/>
    <col min="40" max="40" style="40" width="11.862142857142858" customWidth="1" bestFit="1"/>
    <col min="41" max="41" style="40" width="11.862142857142858" customWidth="1" bestFit="1"/>
    <col min="42" max="42" style="40" width="11.862142857142858" customWidth="1" bestFit="1"/>
    <col min="43" max="43" style="40" width="11.862142857142858" customWidth="1" bestFit="1"/>
    <col min="44" max="44" style="40" width="11.862142857142858" customWidth="1" bestFit="1"/>
  </cols>
  <sheetData>
    <row x14ac:dyDescent="0.25" r="1" customHeight="1" ht="16.5" customFormat="1" s="1">
      <c r="A1" s="2"/>
      <c r="B1" s="3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5" t="s">
        <v>8</v>
      </c>
      <c r="L1" s="4" t="s">
        <v>9</v>
      </c>
      <c r="M1" s="5" t="s">
        <v>10</v>
      </c>
      <c r="N1" s="4" t="s">
        <v>11</v>
      </c>
      <c r="O1" s="5" t="s">
        <v>12</v>
      </c>
      <c r="P1" s="4" t="s">
        <v>13</v>
      </c>
      <c r="Q1" s="6" t="s">
        <v>14</v>
      </c>
      <c r="R1" s="6" t="s">
        <v>15</v>
      </c>
      <c r="S1" s="7" t="s">
        <v>16</v>
      </c>
      <c r="T1" s="7" t="s">
        <v>17</v>
      </c>
      <c r="U1" s="6" t="s">
        <v>18</v>
      </c>
      <c r="V1" s="6" t="s">
        <v>19</v>
      </c>
      <c r="W1" s="6" t="s">
        <v>20</v>
      </c>
      <c r="X1" s="3"/>
      <c r="Y1" s="8" t="s">
        <v>21</v>
      </c>
      <c r="Z1" s="8" t="s">
        <v>22</v>
      </c>
      <c r="AA1" s="8" t="s">
        <v>23</v>
      </c>
      <c r="AB1" s="8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10"/>
      <c r="AH1" s="3"/>
      <c r="AI1" s="10"/>
      <c r="AJ1" s="3"/>
      <c r="AK1" s="3"/>
      <c r="AL1" s="3"/>
      <c r="AM1" s="3"/>
      <c r="AN1" s="3"/>
      <c r="AO1" s="10" t="s">
        <v>29</v>
      </c>
      <c r="AP1" s="11" t="s">
        <v>30</v>
      </c>
      <c r="AQ1" s="12" t="s">
        <v>31</v>
      </c>
      <c r="AR1" s="13" t="s">
        <v>32</v>
      </c>
    </row>
    <row x14ac:dyDescent="0.25" r="2" customHeight="1" ht="16.5">
      <c r="A2" s="14">
        <v>1</v>
      </c>
      <c r="B2" s="15" t="s">
        <v>33</v>
      </c>
      <c r="C2" s="16">
        <v>0.00013</v>
      </c>
      <c r="D2" s="16">
        <v>0.0001</v>
      </c>
      <c r="E2" s="16">
        <v>0.00008</v>
      </c>
      <c r="F2" s="16">
        <v>0.00009</v>
      </c>
      <c r="G2" s="16">
        <v>0.00049</v>
      </c>
      <c r="H2" s="16">
        <v>0.00024</v>
      </c>
      <c r="I2" s="17">
        <f>H2/D2</f>
      </c>
      <c r="J2" s="17">
        <f>F2/D2</f>
      </c>
      <c r="K2" s="17">
        <f>G2/C2</f>
      </c>
      <c r="L2" s="17">
        <f>E2/C2</f>
      </c>
      <c r="M2" s="17">
        <f>LN(I2)</f>
      </c>
      <c r="N2" s="17">
        <f>LN(J2)</f>
      </c>
      <c r="O2" s="17">
        <f>LN(K2)</f>
      </c>
      <c r="P2" s="17">
        <f>LN(L2)</f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5" t="s">
        <v>33</v>
      </c>
      <c r="Y2" s="18">
        <v>737</v>
      </c>
      <c r="Z2" s="18">
        <v>384.5</v>
      </c>
      <c r="AA2" s="18">
        <v>398</v>
      </c>
      <c r="AB2" s="18">
        <v>0</v>
      </c>
      <c r="AC2" s="19">
        <v>1</v>
      </c>
      <c r="AD2" s="19">
        <v>1</v>
      </c>
      <c r="AE2" s="19">
        <v>1</v>
      </c>
      <c r="AF2" s="19">
        <v>0</v>
      </c>
      <c r="AG2" s="20"/>
      <c r="AH2" s="21"/>
      <c r="AI2" s="20"/>
      <c r="AJ2" s="21"/>
      <c r="AK2" s="21"/>
      <c r="AL2" s="21"/>
      <c r="AM2" s="21"/>
      <c r="AN2" s="21"/>
      <c r="AO2" s="20"/>
      <c r="AP2" s="20"/>
      <c r="AQ2" s="20"/>
      <c r="AR2" s="20"/>
    </row>
    <row x14ac:dyDescent="0.25" r="3" customHeight="1" ht="16.5">
      <c r="A3" s="14">
        <v>2</v>
      </c>
      <c r="B3" s="15" t="s">
        <v>34</v>
      </c>
      <c r="C3" s="22">
        <v>0.35735</v>
      </c>
      <c r="D3" s="22">
        <v>0.19702</v>
      </c>
      <c r="E3" s="22">
        <v>1.08753</v>
      </c>
      <c r="F3" s="22">
        <v>0.12046</v>
      </c>
      <c r="G3" s="22">
        <v>1.69983</v>
      </c>
      <c r="H3" s="22">
        <v>0.92118</v>
      </c>
      <c r="I3" s="17">
        <f>H3/D3</f>
      </c>
      <c r="J3" s="17">
        <f>F3/D3</f>
      </c>
      <c r="K3" s="17">
        <f>G3/C3</f>
      </c>
      <c r="L3" s="17">
        <f>E3/C3</f>
      </c>
      <c r="M3" s="17">
        <f>LN(I3)</f>
      </c>
      <c r="N3" s="17">
        <f>LN(J3)</f>
      </c>
      <c r="O3" s="17">
        <f>LN(K3)</f>
      </c>
      <c r="P3" s="17">
        <f>LN(L3)</f>
      </c>
      <c r="Q3" s="17">
        <v>1</v>
      </c>
      <c r="R3" s="17">
        <v>1</v>
      </c>
      <c r="S3" s="17">
        <v>0</v>
      </c>
      <c r="T3" s="17">
        <v>1</v>
      </c>
      <c r="U3" s="17">
        <v>199</v>
      </c>
      <c r="V3" s="17">
        <v>27.3</v>
      </c>
      <c r="W3" s="17">
        <v>0</v>
      </c>
      <c r="X3" s="15" t="s">
        <v>34</v>
      </c>
      <c r="Y3" s="18">
        <v>1000</v>
      </c>
      <c r="Z3" s="18">
        <v>679.5</v>
      </c>
      <c r="AA3" s="18">
        <v>0</v>
      </c>
      <c r="AB3" s="18">
        <v>1000</v>
      </c>
      <c r="AC3" s="19">
        <v>1</v>
      </c>
      <c r="AD3" s="19">
        <v>1</v>
      </c>
      <c r="AE3" s="19">
        <v>0</v>
      </c>
      <c r="AF3" s="19">
        <v>1</v>
      </c>
      <c r="AG3" s="20"/>
      <c r="AH3" s="21"/>
      <c r="AI3" s="20"/>
      <c r="AJ3" s="21"/>
      <c r="AK3" s="21"/>
      <c r="AL3" s="21"/>
      <c r="AM3" s="21"/>
      <c r="AN3" s="21"/>
      <c r="AO3" s="20"/>
      <c r="AP3" s="20"/>
      <c r="AQ3" s="20"/>
      <c r="AR3" s="20"/>
    </row>
    <row x14ac:dyDescent="0.25" r="4" customHeight="1" ht="16.5">
      <c r="A4" s="14">
        <v>3</v>
      </c>
      <c r="B4" s="15" t="s">
        <v>35</v>
      </c>
      <c r="C4" s="22">
        <v>0.0001</v>
      </c>
      <c r="D4" s="22">
        <v>0.00008</v>
      </c>
      <c r="E4" s="22">
        <v>0.00013</v>
      </c>
      <c r="F4" s="22">
        <v>0.0001</v>
      </c>
      <c r="G4" s="22">
        <v>0.00134</v>
      </c>
      <c r="H4" s="22">
        <v>0.00017</v>
      </c>
      <c r="I4" s="17">
        <f>H4/D4</f>
      </c>
      <c r="J4" s="17">
        <f>F4/D4</f>
      </c>
      <c r="K4" s="17">
        <f>G4/C4</f>
      </c>
      <c r="L4" s="17">
        <f>E4/C4</f>
      </c>
      <c r="M4" s="17">
        <f>LN(I4)</f>
      </c>
      <c r="N4" s="17">
        <f>LN(J4)</f>
      </c>
      <c r="O4" s="17">
        <f>LN(K4)</f>
      </c>
      <c r="P4" s="17">
        <f>LN(L4)</f>
      </c>
      <c r="Q4" s="17">
        <v>10</v>
      </c>
      <c r="R4" s="17">
        <v>3</v>
      </c>
      <c r="S4" s="17">
        <v>2</v>
      </c>
      <c r="T4" s="17">
        <v>1</v>
      </c>
      <c r="U4" s="17">
        <v>137</v>
      </c>
      <c r="V4" s="17">
        <v>53.7</v>
      </c>
      <c r="W4" s="17">
        <v>53.7</v>
      </c>
      <c r="X4" s="15" t="s">
        <v>35</v>
      </c>
      <c r="Y4" s="18">
        <v>0</v>
      </c>
      <c r="Z4" s="18">
        <v>0</v>
      </c>
      <c r="AA4" s="18">
        <v>0</v>
      </c>
      <c r="AB4" s="18">
        <v>0</v>
      </c>
      <c r="AC4" s="19">
        <v>0</v>
      </c>
      <c r="AD4" s="19">
        <v>0</v>
      </c>
      <c r="AE4" s="19">
        <v>0</v>
      </c>
      <c r="AF4" s="19">
        <v>0</v>
      </c>
      <c r="AG4" s="20"/>
      <c r="AH4" s="21"/>
      <c r="AI4" s="20"/>
      <c r="AJ4" s="21"/>
      <c r="AK4" s="21"/>
      <c r="AL4" s="21"/>
      <c r="AM4" s="21"/>
      <c r="AN4" s="21"/>
      <c r="AO4" s="20"/>
      <c r="AP4" s="20"/>
      <c r="AQ4" s="20"/>
      <c r="AR4" s="20"/>
    </row>
    <row x14ac:dyDescent="0.25" r="5" customHeight="1" ht="16.5">
      <c r="A5" s="14">
        <v>4</v>
      </c>
      <c r="B5" s="15" t="s">
        <v>36</v>
      </c>
      <c r="C5" s="22">
        <v>0.00881</v>
      </c>
      <c r="D5" s="22">
        <v>0.01065</v>
      </c>
      <c r="E5" s="22">
        <v>0.02621</v>
      </c>
      <c r="F5" s="22">
        <v>0.00003</v>
      </c>
      <c r="G5" s="22">
        <v>0.06657</v>
      </c>
      <c r="H5" s="22">
        <v>0.01504</v>
      </c>
      <c r="I5" s="17">
        <f>H5/D5</f>
      </c>
      <c r="J5" s="17">
        <f>F5/D5</f>
      </c>
      <c r="K5" s="17">
        <f>G5/C5</f>
      </c>
      <c r="L5" s="17">
        <f>E5/C5</f>
      </c>
      <c r="M5" s="17">
        <f>LN(I5)</f>
      </c>
      <c r="N5" s="17">
        <f>LN(J5)</f>
      </c>
      <c r="O5" s="17">
        <f>LN(K5)</f>
      </c>
      <c r="P5" s="17">
        <f>LN(L5)</f>
      </c>
      <c r="Q5" s="17">
        <v>12</v>
      </c>
      <c r="R5" s="17">
        <v>6</v>
      </c>
      <c r="S5" s="17">
        <v>3</v>
      </c>
      <c r="T5" s="17">
        <v>5</v>
      </c>
      <c r="U5" s="17">
        <v>126.5</v>
      </c>
      <c r="V5" s="17">
        <v>46.8</v>
      </c>
      <c r="W5" s="17">
        <v>46.8</v>
      </c>
      <c r="X5" s="15" t="s">
        <v>36</v>
      </c>
      <c r="Y5" s="18">
        <v>466.5</v>
      </c>
      <c r="Z5" s="18">
        <v>513.5</v>
      </c>
      <c r="AA5" s="18">
        <v>965</v>
      </c>
      <c r="AB5" s="18">
        <v>1000</v>
      </c>
      <c r="AC5" s="19">
        <v>2</v>
      </c>
      <c r="AD5" s="19">
        <v>2</v>
      </c>
      <c r="AE5" s="19">
        <v>2</v>
      </c>
      <c r="AF5" s="19">
        <v>4</v>
      </c>
      <c r="AG5" s="20"/>
      <c r="AH5" s="21"/>
      <c r="AI5" s="20"/>
      <c r="AJ5" s="21"/>
      <c r="AK5" s="21"/>
      <c r="AL5" s="21"/>
      <c r="AM5" s="21"/>
      <c r="AN5" s="21"/>
      <c r="AO5" s="20"/>
      <c r="AP5" s="20"/>
      <c r="AQ5" s="20"/>
      <c r="AR5" s="20"/>
    </row>
    <row x14ac:dyDescent="0.25" r="6" customHeight="1" ht="16.5">
      <c r="A6" s="14">
        <v>5</v>
      </c>
      <c r="B6" s="15" t="s">
        <v>37</v>
      </c>
      <c r="C6" s="22">
        <v>0.00396</v>
      </c>
      <c r="D6" s="22">
        <v>0.00443</v>
      </c>
      <c r="E6" s="22">
        <v>0.0059</v>
      </c>
      <c r="F6" s="22">
        <v>0.00102</v>
      </c>
      <c r="G6" s="22">
        <v>0.01313</v>
      </c>
      <c r="H6" s="22">
        <v>0.00768</v>
      </c>
      <c r="I6" s="17">
        <f>H6/D6</f>
      </c>
      <c r="J6" s="17">
        <f>F6/D6</f>
      </c>
      <c r="K6" s="17">
        <f>G6/C6</f>
      </c>
      <c r="L6" s="17">
        <f>E6/C6</f>
      </c>
      <c r="M6" s="17">
        <f>LN(I6)</f>
      </c>
      <c r="N6" s="17">
        <f>LN(J6)</f>
      </c>
      <c r="O6" s="17">
        <f>LN(K6)</f>
      </c>
      <c r="P6" s="17">
        <f>LN(L6)</f>
      </c>
      <c r="Q6" s="17">
        <v>7</v>
      </c>
      <c r="R6" s="17">
        <v>3</v>
      </c>
      <c r="S6" s="17">
        <v>1</v>
      </c>
      <c r="T6" s="17">
        <v>2</v>
      </c>
      <c r="U6" s="17">
        <v>70.5</v>
      </c>
      <c r="V6" s="17">
        <v>39.3</v>
      </c>
      <c r="W6" s="17">
        <v>30.7</v>
      </c>
      <c r="X6" s="15" t="s">
        <v>37</v>
      </c>
      <c r="Y6" s="18">
        <v>272.5</v>
      </c>
      <c r="Z6" s="18">
        <v>0</v>
      </c>
      <c r="AA6" s="18">
        <v>0</v>
      </c>
      <c r="AB6" s="18">
        <v>1000</v>
      </c>
      <c r="AC6" s="19">
        <v>1</v>
      </c>
      <c r="AD6" s="19">
        <v>0</v>
      </c>
      <c r="AE6" s="19">
        <v>0</v>
      </c>
      <c r="AF6" s="19">
        <v>1</v>
      </c>
      <c r="AG6" s="20"/>
      <c r="AH6" s="21"/>
      <c r="AI6" s="20"/>
      <c r="AJ6" s="21"/>
      <c r="AK6" s="21"/>
      <c r="AL6" s="21"/>
      <c r="AM6" s="21"/>
      <c r="AN6" s="21"/>
      <c r="AO6" s="20"/>
      <c r="AP6" s="20"/>
      <c r="AQ6" s="20"/>
      <c r="AR6" s="20"/>
    </row>
    <row x14ac:dyDescent="0.25" r="7" customHeight="1" ht="16.5">
      <c r="A7" s="14">
        <v>6</v>
      </c>
      <c r="B7" s="15" t="s">
        <v>38</v>
      </c>
      <c r="C7" s="22">
        <v>0.13874</v>
      </c>
      <c r="D7" s="22">
        <v>0.08809</v>
      </c>
      <c r="E7" s="22">
        <v>0.09533</v>
      </c>
      <c r="F7" s="22">
        <v>0.02385</v>
      </c>
      <c r="G7" s="22">
        <v>0.30938</v>
      </c>
      <c r="H7" s="22">
        <v>0.11088</v>
      </c>
      <c r="I7" s="17">
        <f>H7/D7</f>
      </c>
      <c r="J7" s="17">
        <f>F7/D7</f>
      </c>
      <c r="K7" s="17">
        <f>G7/C7</f>
      </c>
      <c r="L7" s="17">
        <f>E7/C7</f>
      </c>
      <c r="M7" s="17">
        <f>LN(I7)</f>
      </c>
      <c r="N7" s="17">
        <f>LN(J7)</f>
      </c>
      <c r="O7" s="17">
        <f>LN(K7)</f>
      </c>
      <c r="P7" s="17">
        <f>LN(L7)</f>
      </c>
      <c r="Q7" s="17">
        <v>1</v>
      </c>
      <c r="R7" s="17">
        <v>1</v>
      </c>
      <c r="S7" s="17">
        <v>0</v>
      </c>
      <c r="T7" s="17">
        <v>1</v>
      </c>
      <c r="U7" s="17">
        <v>121.5</v>
      </c>
      <c r="V7" s="17">
        <v>46.3</v>
      </c>
      <c r="W7" s="17">
        <v>0</v>
      </c>
      <c r="X7" s="15" t="s">
        <v>38</v>
      </c>
      <c r="Y7" s="18">
        <v>0</v>
      </c>
      <c r="Z7" s="18">
        <v>370</v>
      </c>
      <c r="AA7" s="18">
        <v>0</v>
      </c>
      <c r="AB7" s="18">
        <v>1000</v>
      </c>
      <c r="AC7" s="19">
        <v>0</v>
      </c>
      <c r="AD7" s="19">
        <v>1</v>
      </c>
      <c r="AE7" s="19">
        <v>0</v>
      </c>
      <c r="AF7" s="19">
        <v>1</v>
      </c>
      <c r="AG7" s="20"/>
      <c r="AH7" s="21"/>
      <c r="AI7" s="20"/>
      <c r="AJ7" s="21"/>
      <c r="AK7" s="21"/>
      <c r="AL7" s="21"/>
      <c r="AM7" s="21"/>
      <c r="AN7" s="21"/>
      <c r="AO7" s="20"/>
      <c r="AP7" s="20"/>
      <c r="AQ7" s="20"/>
      <c r="AR7" s="20"/>
    </row>
    <row x14ac:dyDescent="0.25" r="8" customHeight="1" ht="16.5">
      <c r="A8" s="14">
        <v>7</v>
      </c>
      <c r="B8" s="15" t="s">
        <v>39</v>
      </c>
      <c r="C8" s="22">
        <v>0.09428</v>
      </c>
      <c r="D8" s="22">
        <v>0.05076</v>
      </c>
      <c r="E8" s="22">
        <v>0.13645</v>
      </c>
      <c r="F8" s="22">
        <v>0.01059</v>
      </c>
      <c r="G8" s="22">
        <v>0.27196</v>
      </c>
      <c r="H8" s="22">
        <v>0.14301</v>
      </c>
      <c r="I8" s="17">
        <f>H8/D8</f>
      </c>
      <c r="J8" s="17">
        <f>F8/D8</f>
      </c>
      <c r="K8" s="17">
        <f>G8/C8</f>
      </c>
      <c r="L8" s="17">
        <f>E8/C8</f>
      </c>
      <c r="M8" s="17">
        <f>LN(I8)</f>
      </c>
      <c r="N8" s="17">
        <f>LN(J8)</f>
      </c>
      <c r="O8" s="17">
        <f>LN(K8)</f>
      </c>
      <c r="P8" s="17">
        <f>LN(L8)</f>
      </c>
      <c r="Q8" s="17">
        <v>10</v>
      </c>
      <c r="R8" s="17">
        <v>5</v>
      </c>
      <c r="S8" s="17">
        <v>3</v>
      </c>
      <c r="T8" s="17">
        <v>3</v>
      </c>
      <c r="U8" s="17">
        <v>182</v>
      </c>
      <c r="V8" s="17">
        <v>54</v>
      </c>
      <c r="W8" s="17">
        <v>54</v>
      </c>
      <c r="X8" s="15" t="s">
        <v>39</v>
      </c>
      <c r="Y8" s="18">
        <v>0</v>
      </c>
      <c r="Z8" s="18">
        <v>494.5</v>
      </c>
      <c r="AA8" s="18">
        <v>0</v>
      </c>
      <c r="AB8" s="18">
        <v>1000</v>
      </c>
      <c r="AC8" s="19">
        <v>0</v>
      </c>
      <c r="AD8" s="19">
        <v>1</v>
      </c>
      <c r="AE8" s="19">
        <v>0</v>
      </c>
      <c r="AF8" s="19">
        <v>2</v>
      </c>
      <c r="AG8" s="20"/>
      <c r="AH8" s="21"/>
      <c r="AI8" s="20"/>
      <c r="AJ8" s="21"/>
      <c r="AK8" s="21"/>
      <c r="AL8" s="21"/>
      <c r="AM8" s="21"/>
      <c r="AN8" s="21"/>
      <c r="AO8" s="20"/>
      <c r="AP8" s="20"/>
      <c r="AQ8" s="20"/>
      <c r="AR8" s="20"/>
    </row>
    <row x14ac:dyDescent="0.25" r="9" customHeight="1" ht="16.5">
      <c r="A9" s="14">
        <v>8</v>
      </c>
      <c r="B9" s="15" t="s">
        <v>40</v>
      </c>
      <c r="C9" s="22">
        <v>0.00582</v>
      </c>
      <c r="D9" s="22">
        <v>0.00489</v>
      </c>
      <c r="E9" s="22">
        <v>0.00714</v>
      </c>
      <c r="F9" s="22">
        <v>0.00254</v>
      </c>
      <c r="G9" s="22">
        <v>0.02409</v>
      </c>
      <c r="H9" s="22">
        <v>0.00787</v>
      </c>
      <c r="I9" s="17">
        <f>H9/D9</f>
      </c>
      <c r="J9" s="17">
        <f>F9/D9</f>
      </c>
      <c r="K9" s="17">
        <f>G9/C9</f>
      </c>
      <c r="L9" s="17">
        <f>E9/C9</f>
      </c>
      <c r="M9" s="17">
        <f>LN(I9)</f>
      </c>
      <c r="N9" s="17">
        <f>LN(J9)</f>
      </c>
      <c r="O9" s="17">
        <f>LN(K9)</f>
      </c>
      <c r="P9" s="17">
        <f>LN(L9)</f>
      </c>
      <c r="Q9" s="17">
        <v>10</v>
      </c>
      <c r="R9" s="17">
        <v>5</v>
      </c>
      <c r="S9" s="17">
        <v>2</v>
      </c>
      <c r="T9" s="17">
        <v>3</v>
      </c>
      <c r="U9" s="17">
        <v>210</v>
      </c>
      <c r="V9" s="17">
        <v>52</v>
      </c>
      <c r="W9" s="17">
        <v>47.1</v>
      </c>
      <c r="X9" s="15" t="s">
        <v>40</v>
      </c>
      <c r="Y9" s="18">
        <v>500</v>
      </c>
      <c r="Z9" s="18">
        <v>530</v>
      </c>
      <c r="AA9" s="18">
        <v>0</v>
      </c>
      <c r="AB9" s="18">
        <v>1000</v>
      </c>
      <c r="AC9" s="19">
        <v>1</v>
      </c>
      <c r="AD9" s="19">
        <v>1</v>
      </c>
      <c r="AE9" s="19">
        <v>0</v>
      </c>
      <c r="AF9" s="19">
        <v>3</v>
      </c>
      <c r="AG9" s="20"/>
      <c r="AH9" s="21"/>
      <c r="AI9" s="20"/>
      <c r="AJ9" s="21"/>
      <c r="AK9" s="21"/>
      <c r="AL9" s="21"/>
      <c r="AM9" s="21"/>
      <c r="AN9" s="21"/>
      <c r="AO9" s="20"/>
      <c r="AP9" s="20"/>
      <c r="AQ9" s="20"/>
      <c r="AR9" s="20"/>
    </row>
    <row x14ac:dyDescent="0.25" r="10" customHeight="1" ht="16.5">
      <c r="A10" s="14">
        <v>9</v>
      </c>
      <c r="B10" s="15" t="s">
        <v>41</v>
      </c>
      <c r="C10" s="22">
        <v>0.01429</v>
      </c>
      <c r="D10" s="22">
        <v>0.01066</v>
      </c>
      <c r="E10" s="22">
        <v>0.06066</v>
      </c>
      <c r="F10" s="22">
        <v>0.00133</v>
      </c>
      <c r="G10" s="22">
        <v>0.10095</v>
      </c>
      <c r="H10" s="22">
        <v>0.05953</v>
      </c>
      <c r="I10" s="17">
        <f>H10/D10</f>
      </c>
      <c r="J10" s="17">
        <f>F10/D10</f>
      </c>
      <c r="K10" s="17">
        <f>G10/C10</f>
      </c>
      <c r="L10" s="17">
        <f>E10/C10</f>
      </c>
      <c r="M10" s="17">
        <f>LN(I10)</f>
      </c>
      <c r="N10" s="17">
        <f>LN(J10)</f>
      </c>
      <c r="O10" s="17">
        <f>LN(K10)</f>
      </c>
      <c r="P10" s="17">
        <f>LN(L10)</f>
      </c>
      <c r="Q10" s="17">
        <v>9</v>
      </c>
      <c r="R10" s="17">
        <v>3</v>
      </c>
      <c r="S10" s="17">
        <v>3</v>
      </c>
      <c r="T10" s="17">
        <v>4</v>
      </c>
      <c r="U10" s="17">
        <v>103</v>
      </c>
      <c r="V10" s="17">
        <v>51.3</v>
      </c>
      <c r="W10" s="17">
        <v>51.3</v>
      </c>
      <c r="X10" s="15" t="s">
        <v>41</v>
      </c>
      <c r="Y10" s="18">
        <v>0</v>
      </c>
      <c r="Z10" s="18">
        <v>0</v>
      </c>
      <c r="AA10" s="18">
        <v>0</v>
      </c>
      <c r="AB10" s="18">
        <v>1000</v>
      </c>
      <c r="AC10" s="19">
        <v>0</v>
      </c>
      <c r="AD10" s="19">
        <v>0</v>
      </c>
      <c r="AE10" s="19">
        <v>0</v>
      </c>
      <c r="AF10" s="19">
        <v>2</v>
      </c>
      <c r="AG10" s="20"/>
      <c r="AH10" s="21"/>
      <c r="AI10" s="20"/>
      <c r="AJ10" s="21"/>
      <c r="AK10" s="21"/>
      <c r="AL10" s="21"/>
      <c r="AM10" s="21"/>
      <c r="AN10" s="21"/>
      <c r="AO10" s="20"/>
      <c r="AP10" s="20"/>
      <c r="AQ10" s="20"/>
      <c r="AR10" s="20"/>
    </row>
    <row x14ac:dyDescent="0.25" r="11" customHeight="1" ht="16.5">
      <c r="A11" s="14">
        <v>10</v>
      </c>
      <c r="B11" s="15" t="s">
        <v>42</v>
      </c>
      <c r="C11" s="22">
        <v>0.01081</v>
      </c>
      <c r="D11" s="22">
        <v>0.00538</v>
      </c>
      <c r="E11" s="22">
        <v>0.01552</v>
      </c>
      <c r="F11" s="22">
        <v>0.00124</v>
      </c>
      <c r="G11" s="22">
        <v>0.03561</v>
      </c>
      <c r="H11" s="22">
        <v>0.00968</v>
      </c>
      <c r="I11" s="17">
        <f>H11/D11</f>
      </c>
      <c r="J11" s="17">
        <f>F11/D11</f>
      </c>
      <c r="K11" s="17">
        <f>G11/C11</f>
      </c>
      <c r="L11" s="17">
        <f>E11/C11</f>
      </c>
      <c r="M11" s="17">
        <f>LN(I11)</f>
      </c>
      <c r="N11" s="17">
        <f>LN(J11)</f>
      </c>
      <c r="O11" s="17">
        <f>LN(K11)</f>
      </c>
      <c r="P11" s="17">
        <f>LN(L11)</f>
      </c>
      <c r="Q11" s="17">
        <v>3</v>
      </c>
      <c r="R11" s="17">
        <v>2</v>
      </c>
      <c r="S11" s="17">
        <v>0</v>
      </c>
      <c r="T11" s="17">
        <v>0</v>
      </c>
      <c r="U11" s="17">
        <v>0</v>
      </c>
      <c r="V11" s="17">
        <v>46.3</v>
      </c>
      <c r="W11" s="17">
        <v>0</v>
      </c>
      <c r="X11" s="15" t="s">
        <v>42</v>
      </c>
      <c r="Y11" s="18">
        <v>0</v>
      </c>
      <c r="Z11" s="18">
        <v>0</v>
      </c>
      <c r="AA11" s="18">
        <v>0</v>
      </c>
      <c r="AB11" s="18">
        <v>0</v>
      </c>
      <c r="AC11" s="19">
        <v>0</v>
      </c>
      <c r="AD11" s="19">
        <v>0</v>
      </c>
      <c r="AE11" s="19">
        <v>0</v>
      </c>
      <c r="AF11" s="19">
        <v>0</v>
      </c>
      <c r="AG11" s="20"/>
      <c r="AH11" s="21"/>
      <c r="AI11" s="20"/>
      <c r="AJ11" s="21"/>
      <c r="AK11" s="21"/>
      <c r="AL11" s="21"/>
      <c r="AM11" s="21"/>
      <c r="AN11" s="21"/>
      <c r="AO11" s="20"/>
      <c r="AP11" s="20"/>
      <c r="AQ11" s="20"/>
      <c r="AR11" s="20"/>
    </row>
    <row x14ac:dyDescent="0.25" r="12" customHeight="1" ht="16.5">
      <c r="A12" s="14">
        <v>11</v>
      </c>
      <c r="B12" s="15" t="s">
        <v>43</v>
      </c>
      <c r="C12" s="22">
        <v>0.0003</v>
      </c>
      <c r="D12" s="22">
        <v>0.00019</v>
      </c>
      <c r="E12" s="22">
        <v>0.00171</v>
      </c>
      <c r="F12" s="22">
        <v>0.00014</v>
      </c>
      <c r="G12" s="22">
        <v>0.00356</v>
      </c>
      <c r="H12" s="22">
        <v>0.00085</v>
      </c>
      <c r="I12" s="17">
        <f>H12/D12</f>
      </c>
      <c r="J12" s="17">
        <f>F12/D12</f>
      </c>
      <c r="K12" s="17">
        <f>G12/C12</f>
      </c>
      <c r="L12" s="17">
        <f>E12/C12</f>
      </c>
      <c r="M12" s="17">
        <f>LN(I12)</f>
      </c>
      <c r="N12" s="17">
        <f>LN(J12)</f>
      </c>
      <c r="O12" s="17">
        <f>LN(K12)</f>
      </c>
      <c r="P12" s="17">
        <f>LN(L12)</f>
      </c>
      <c r="Q12" s="17">
        <v>20</v>
      </c>
      <c r="R12" s="17">
        <v>10</v>
      </c>
      <c r="S12" s="17">
        <v>2</v>
      </c>
      <c r="T12" s="17">
        <v>5</v>
      </c>
      <c r="U12" s="17">
        <v>201</v>
      </c>
      <c r="V12" s="17">
        <v>53.1</v>
      </c>
      <c r="W12" s="17">
        <v>53.1</v>
      </c>
      <c r="X12" s="15" t="s">
        <v>43</v>
      </c>
      <c r="Y12" s="18">
        <v>0</v>
      </c>
      <c r="Z12" s="18">
        <v>0</v>
      </c>
      <c r="AA12" s="18">
        <v>1000</v>
      </c>
      <c r="AB12" s="18">
        <v>1000</v>
      </c>
      <c r="AC12" s="19">
        <v>0</v>
      </c>
      <c r="AD12" s="19">
        <v>0</v>
      </c>
      <c r="AE12" s="19">
        <v>1</v>
      </c>
      <c r="AF12" s="19">
        <v>5</v>
      </c>
      <c r="AG12" s="20"/>
      <c r="AH12" s="21"/>
      <c r="AI12" s="20"/>
      <c r="AJ12" s="21"/>
      <c r="AK12" s="21"/>
      <c r="AL12" s="21"/>
      <c r="AM12" s="21"/>
      <c r="AN12" s="21"/>
      <c r="AO12" s="20"/>
      <c r="AP12" s="20"/>
      <c r="AQ12" s="20"/>
      <c r="AR12" s="20"/>
    </row>
    <row x14ac:dyDescent="0.25" r="13" customHeight="1" ht="16.5">
      <c r="A13" s="14">
        <v>12</v>
      </c>
      <c r="B13" s="15" t="s">
        <v>44</v>
      </c>
      <c r="C13" s="22">
        <v>0.00171</v>
      </c>
      <c r="D13" s="22">
        <v>0.00184</v>
      </c>
      <c r="E13" s="22">
        <v>0.00545</v>
      </c>
      <c r="F13" s="22">
        <v>0.00052</v>
      </c>
      <c r="G13" s="22">
        <v>0.01427</v>
      </c>
      <c r="H13" s="22">
        <v>0.00504</v>
      </c>
      <c r="I13" s="17">
        <f>H13/D13</f>
      </c>
      <c r="J13" s="17">
        <f>F13/D13</f>
      </c>
      <c r="K13" s="17">
        <f>G13/C13</f>
      </c>
      <c r="L13" s="17">
        <f>E13/C13</f>
      </c>
      <c r="M13" s="17">
        <f>LN(I13)</f>
      </c>
      <c r="N13" s="17">
        <f>LN(J13)</f>
      </c>
      <c r="O13" s="17">
        <f>LN(K13)</f>
      </c>
      <c r="P13" s="17">
        <f>LN(L13)</f>
      </c>
      <c r="Q13" s="17">
        <v>7</v>
      </c>
      <c r="R13" s="17">
        <v>3</v>
      </c>
      <c r="S13" s="17">
        <v>3</v>
      </c>
      <c r="T13" s="17">
        <v>1</v>
      </c>
      <c r="U13" s="17">
        <v>150</v>
      </c>
      <c r="V13" s="17">
        <v>54.4</v>
      </c>
      <c r="W13" s="17">
        <v>0</v>
      </c>
      <c r="X13" s="15" t="s">
        <v>44</v>
      </c>
      <c r="Y13" s="18">
        <v>1000</v>
      </c>
      <c r="Z13" s="18">
        <v>601</v>
      </c>
      <c r="AA13" s="18">
        <v>0</v>
      </c>
      <c r="AB13" s="18">
        <v>1000</v>
      </c>
      <c r="AC13" s="19">
        <v>1</v>
      </c>
      <c r="AD13" s="19">
        <v>2</v>
      </c>
      <c r="AE13" s="19">
        <v>0</v>
      </c>
      <c r="AF13" s="19">
        <v>1</v>
      </c>
      <c r="AG13" s="20"/>
      <c r="AH13" s="21"/>
      <c r="AI13" s="20"/>
      <c r="AJ13" s="21"/>
      <c r="AK13" s="21"/>
      <c r="AL13" s="21"/>
      <c r="AM13" s="21"/>
      <c r="AN13" s="21"/>
      <c r="AO13" s="20"/>
      <c r="AP13" s="20"/>
      <c r="AQ13" s="20"/>
      <c r="AR13" s="20"/>
    </row>
    <row x14ac:dyDescent="0.25" r="14" customHeight="1" ht="16.5">
      <c r="A14" s="14">
        <v>13</v>
      </c>
      <c r="B14" s="15" t="s">
        <v>45</v>
      </c>
      <c r="C14" s="22">
        <v>0.02185</v>
      </c>
      <c r="D14" s="22">
        <v>0.01023</v>
      </c>
      <c r="E14" s="22">
        <v>0.04696</v>
      </c>
      <c r="F14" s="22">
        <v>0.00276</v>
      </c>
      <c r="G14" s="22">
        <v>0.10369</v>
      </c>
      <c r="H14" s="22">
        <v>0.04567</v>
      </c>
      <c r="I14" s="17">
        <f>H14/D14</f>
      </c>
      <c r="J14" s="17">
        <f>F14/D14</f>
      </c>
      <c r="K14" s="17">
        <f>G14/C14</f>
      </c>
      <c r="L14" s="17">
        <f>E14/C14</f>
      </c>
      <c r="M14" s="17">
        <f>LN(I14)</f>
      </c>
      <c r="N14" s="17">
        <f>LN(J14)</f>
      </c>
      <c r="O14" s="17">
        <f>LN(K14)</f>
      </c>
      <c r="P14" s="17">
        <f>LN(L14)</f>
      </c>
      <c r="Q14" s="17">
        <v>5</v>
      </c>
      <c r="R14" s="17">
        <v>4</v>
      </c>
      <c r="S14" s="17">
        <v>1</v>
      </c>
      <c r="T14" s="17">
        <v>1</v>
      </c>
      <c r="U14" s="17">
        <v>155</v>
      </c>
      <c r="V14" s="17">
        <v>57.5</v>
      </c>
      <c r="W14" s="17">
        <v>52.8</v>
      </c>
      <c r="X14" s="15" t="s">
        <v>45</v>
      </c>
      <c r="Y14" s="18">
        <v>1000</v>
      </c>
      <c r="Z14" s="18">
        <v>685</v>
      </c>
      <c r="AA14" s="18">
        <v>882</v>
      </c>
      <c r="AB14" s="18">
        <v>1000</v>
      </c>
      <c r="AC14" s="19">
        <v>2</v>
      </c>
      <c r="AD14" s="19">
        <v>2</v>
      </c>
      <c r="AE14" s="19">
        <v>1</v>
      </c>
      <c r="AF14" s="19">
        <v>3</v>
      </c>
      <c r="AG14" s="20"/>
      <c r="AH14" s="21"/>
      <c r="AI14" s="20"/>
      <c r="AJ14" s="21"/>
      <c r="AK14" s="21"/>
      <c r="AL14" s="21"/>
      <c r="AM14" s="21"/>
      <c r="AN14" s="21"/>
      <c r="AO14" s="20"/>
      <c r="AP14" s="20"/>
      <c r="AQ14" s="20"/>
      <c r="AR14" s="20"/>
    </row>
    <row x14ac:dyDescent="0.25" r="15" customHeight="1" ht="16.5">
      <c r="A15" s="14">
        <v>14</v>
      </c>
      <c r="B15" s="15" t="s">
        <v>46</v>
      </c>
      <c r="C15" s="22">
        <v>0.04068</v>
      </c>
      <c r="D15" s="22">
        <v>0.0269</v>
      </c>
      <c r="E15" s="22">
        <v>0.08595</v>
      </c>
      <c r="F15" s="22">
        <v>0.01091</v>
      </c>
      <c r="G15" s="22">
        <v>0.10319</v>
      </c>
      <c r="H15" s="22">
        <v>0.09208</v>
      </c>
      <c r="I15" s="17">
        <f>H15/D15</f>
      </c>
      <c r="J15" s="17">
        <f>F15/D15</f>
      </c>
      <c r="K15" s="17">
        <f>G15/C15</f>
      </c>
      <c r="L15" s="17">
        <f>E15/C15</f>
      </c>
      <c r="M15" s="17">
        <f>LN(I15)</f>
      </c>
      <c r="N15" s="17">
        <f>LN(J15)</f>
      </c>
      <c r="O15" s="17">
        <f>LN(K15)</f>
      </c>
      <c r="P15" s="17">
        <f>LN(L15)</f>
      </c>
      <c r="Q15" s="17">
        <v>8</v>
      </c>
      <c r="R15" s="17">
        <v>1</v>
      </c>
      <c r="S15" s="17">
        <v>0</v>
      </c>
      <c r="T15" s="17">
        <v>1</v>
      </c>
      <c r="U15" s="17">
        <v>97</v>
      </c>
      <c r="V15" s="17">
        <v>38.7</v>
      </c>
      <c r="W15" s="17">
        <v>0</v>
      </c>
      <c r="X15" s="15" t="s">
        <v>46</v>
      </c>
      <c r="Y15" s="18">
        <v>500</v>
      </c>
      <c r="Z15" s="18">
        <v>408.5</v>
      </c>
      <c r="AA15" s="18">
        <v>470</v>
      </c>
      <c r="AB15" s="18">
        <v>1000</v>
      </c>
      <c r="AC15" s="19">
        <v>1</v>
      </c>
      <c r="AD15" s="19">
        <v>1</v>
      </c>
      <c r="AE15" s="19">
        <v>1</v>
      </c>
      <c r="AF15" s="19">
        <v>2</v>
      </c>
      <c r="AG15" s="20"/>
      <c r="AH15" s="21"/>
      <c r="AI15" s="20"/>
      <c r="AJ15" s="21"/>
      <c r="AK15" s="21"/>
      <c r="AL15" s="21"/>
      <c r="AM15" s="21"/>
      <c r="AN15" s="21"/>
      <c r="AO15" s="20"/>
      <c r="AP15" s="20"/>
      <c r="AQ15" s="20"/>
      <c r="AR15" s="20"/>
    </row>
    <row x14ac:dyDescent="0.25" r="16" customHeight="1" ht="16.5">
      <c r="A16" s="14">
        <v>15</v>
      </c>
      <c r="B16" s="15" t="s">
        <v>47</v>
      </c>
      <c r="C16" s="22">
        <v>0.00119</v>
      </c>
      <c r="D16" s="22">
        <v>0.00032</v>
      </c>
      <c r="E16" s="22">
        <v>0.00134</v>
      </c>
      <c r="F16" s="22">
        <v>0.00013</v>
      </c>
      <c r="G16" s="22">
        <v>0.00252</v>
      </c>
      <c r="H16" s="22">
        <v>0.00085</v>
      </c>
      <c r="I16" s="17">
        <f>H16/D16</f>
      </c>
      <c r="J16" s="17">
        <f>F16/D16</f>
      </c>
      <c r="K16" s="17">
        <f>G16/C16</f>
      </c>
      <c r="L16" s="17">
        <f>E16/C16</f>
      </c>
      <c r="M16" s="17">
        <f>LN(I16)</f>
      </c>
      <c r="N16" s="17">
        <f>LN(J16)</f>
      </c>
      <c r="O16" s="17">
        <f>LN(K16)</f>
      </c>
      <c r="P16" s="17">
        <f>LN(L16)</f>
      </c>
      <c r="Q16" s="17">
        <v>14</v>
      </c>
      <c r="R16" s="17">
        <v>11</v>
      </c>
      <c r="S16" s="17">
        <v>3</v>
      </c>
      <c r="T16" s="17">
        <v>5</v>
      </c>
      <c r="U16" s="17">
        <v>227.5</v>
      </c>
      <c r="V16" s="17">
        <v>47.8</v>
      </c>
      <c r="W16" s="17">
        <v>47.8</v>
      </c>
      <c r="X16" s="15" t="s">
        <v>47</v>
      </c>
      <c r="Y16" s="18">
        <v>0</v>
      </c>
      <c r="Z16" s="18">
        <v>937.5</v>
      </c>
      <c r="AA16" s="18">
        <v>909</v>
      </c>
      <c r="AB16" s="18">
        <v>1000</v>
      </c>
      <c r="AC16" s="19">
        <v>0</v>
      </c>
      <c r="AD16" s="19">
        <v>2</v>
      </c>
      <c r="AE16" s="19">
        <v>1</v>
      </c>
      <c r="AF16" s="19">
        <v>5</v>
      </c>
      <c r="AG16" s="20"/>
      <c r="AH16" s="21"/>
      <c r="AI16" s="20"/>
      <c r="AJ16" s="21"/>
      <c r="AK16" s="21"/>
      <c r="AL16" s="21"/>
      <c r="AM16" s="21"/>
      <c r="AN16" s="21"/>
      <c r="AO16" s="20"/>
      <c r="AP16" s="20"/>
      <c r="AQ16" s="20"/>
      <c r="AR16" s="20"/>
    </row>
    <row x14ac:dyDescent="0.25" r="17" customHeight="1" ht="16.5">
      <c r="A17" s="14">
        <v>16</v>
      </c>
      <c r="B17" s="15" t="s">
        <v>48</v>
      </c>
      <c r="C17" s="22">
        <v>0.00396</v>
      </c>
      <c r="D17" s="22">
        <v>0.00375</v>
      </c>
      <c r="E17" s="22">
        <v>0.00389</v>
      </c>
      <c r="F17" s="22">
        <v>0.00063</v>
      </c>
      <c r="G17" s="22">
        <v>0.04115</v>
      </c>
      <c r="H17" s="22">
        <v>0.00292</v>
      </c>
      <c r="I17" s="17">
        <f>H17/D17</f>
      </c>
      <c r="J17" s="17">
        <f>F17/D17</f>
      </c>
      <c r="K17" s="17">
        <f>G17/C17</f>
      </c>
      <c r="L17" s="17">
        <f>E17/C17</f>
      </c>
      <c r="M17" s="17">
        <f>LN(I17)</f>
      </c>
      <c r="N17" s="17">
        <f>LN(J17)</f>
      </c>
      <c r="O17" s="17">
        <f>LN(K17)</f>
      </c>
      <c r="P17" s="17">
        <f>LN(L17)</f>
      </c>
      <c r="Q17" s="17">
        <v>12</v>
      </c>
      <c r="R17" s="17">
        <v>1</v>
      </c>
      <c r="S17" s="17">
        <v>0</v>
      </c>
      <c r="T17" s="17">
        <v>4</v>
      </c>
      <c r="U17" s="17">
        <v>115.5</v>
      </c>
      <c r="V17" s="17">
        <v>48.5</v>
      </c>
      <c r="W17" s="17">
        <v>0</v>
      </c>
      <c r="X17" s="15" t="s">
        <v>48</v>
      </c>
      <c r="Y17" s="18">
        <v>305</v>
      </c>
      <c r="Z17" s="18">
        <v>1000</v>
      </c>
      <c r="AA17" s="18">
        <v>577</v>
      </c>
      <c r="AB17" s="18">
        <v>1000</v>
      </c>
      <c r="AC17" s="19">
        <v>1</v>
      </c>
      <c r="AD17" s="19">
        <v>1</v>
      </c>
      <c r="AE17" s="19">
        <v>1</v>
      </c>
      <c r="AF17" s="19">
        <v>1</v>
      </c>
      <c r="AG17" s="20"/>
      <c r="AH17" s="21"/>
      <c r="AI17" s="20"/>
      <c r="AJ17" s="21"/>
      <c r="AK17" s="21"/>
      <c r="AL17" s="21"/>
      <c r="AM17" s="21"/>
      <c r="AN17" s="21"/>
      <c r="AO17" s="20"/>
      <c r="AP17" s="20"/>
      <c r="AQ17" s="20"/>
      <c r="AR17" s="20"/>
    </row>
    <row x14ac:dyDescent="0.25" r="18" customHeight="1" ht="16.5">
      <c r="A18" s="14">
        <v>17</v>
      </c>
      <c r="B18" s="15" t="s">
        <v>49</v>
      </c>
      <c r="C18" s="22">
        <v>0.00355</v>
      </c>
      <c r="D18" s="22">
        <v>0.00202</v>
      </c>
      <c r="E18" s="22">
        <v>0.00489</v>
      </c>
      <c r="F18" s="22">
        <v>0.00148</v>
      </c>
      <c r="G18" s="22">
        <v>0.03081</v>
      </c>
      <c r="H18" s="22">
        <v>0.00634</v>
      </c>
      <c r="I18" s="17">
        <f>H18/D18</f>
      </c>
      <c r="J18" s="17">
        <f>F18/D18</f>
      </c>
      <c r="K18" s="17">
        <f>G18/C18</f>
      </c>
      <c r="L18" s="17">
        <f>E18/C18</f>
      </c>
      <c r="M18" s="17">
        <f>LN(I18)</f>
      </c>
      <c r="N18" s="17">
        <f>LN(J18)</f>
      </c>
      <c r="O18" s="17">
        <f>LN(K18)</f>
      </c>
      <c r="P18" s="17">
        <f>LN(L18)</f>
      </c>
      <c r="Q18" s="17">
        <v>6</v>
      </c>
      <c r="R18" s="17">
        <v>2</v>
      </c>
      <c r="S18" s="17">
        <v>0</v>
      </c>
      <c r="T18" s="17">
        <v>1</v>
      </c>
      <c r="U18" s="17">
        <v>167</v>
      </c>
      <c r="V18" s="17">
        <v>49.3</v>
      </c>
      <c r="W18" s="17">
        <v>0</v>
      </c>
      <c r="X18" s="15" t="s">
        <v>49</v>
      </c>
      <c r="Y18" s="18">
        <v>1000</v>
      </c>
      <c r="Z18" s="18">
        <v>685</v>
      </c>
      <c r="AA18" s="18">
        <v>1000</v>
      </c>
      <c r="AB18" s="18">
        <v>1000</v>
      </c>
      <c r="AC18" s="19">
        <v>1</v>
      </c>
      <c r="AD18" s="19">
        <v>1</v>
      </c>
      <c r="AE18" s="19">
        <v>1</v>
      </c>
      <c r="AF18" s="19">
        <v>2</v>
      </c>
      <c r="AG18" s="20"/>
      <c r="AH18" s="21"/>
      <c r="AI18" s="20"/>
      <c r="AJ18" s="21"/>
      <c r="AK18" s="21"/>
      <c r="AL18" s="21"/>
      <c r="AM18" s="21"/>
      <c r="AN18" s="21"/>
      <c r="AO18" s="20"/>
      <c r="AP18" s="20"/>
      <c r="AQ18" s="20"/>
      <c r="AR18" s="20"/>
    </row>
    <row x14ac:dyDescent="0.25" r="19" customHeight="1" ht="16.5">
      <c r="A19" s="14">
        <v>18</v>
      </c>
      <c r="B19" s="15" t="s">
        <v>50</v>
      </c>
      <c r="C19" s="22">
        <v>0.03649</v>
      </c>
      <c r="D19" s="22">
        <v>0.02877</v>
      </c>
      <c r="E19" s="22">
        <v>0.0289</v>
      </c>
      <c r="F19" s="22">
        <v>0.0134</v>
      </c>
      <c r="G19" s="22">
        <v>0.12299</v>
      </c>
      <c r="H19" s="22">
        <v>0.0531</v>
      </c>
      <c r="I19" s="17">
        <f>H19/D19</f>
      </c>
      <c r="J19" s="17">
        <f>F19/D19</f>
      </c>
      <c r="K19" s="17">
        <f>G19/C19</f>
      </c>
      <c r="L19" s="17">
        <f>E19/C19</f>
      </c>
      <c r="M19" s="17">
        <f>LN(I19)</f>
      </c>
      <c r="N19" s="17">
        <f>LN(J19)</f>
      </c>
      <c r="O19" s="17">
        <f>LN(K19)</f>
      </c>
      <c r="P19" s="17">
        <f>LN(L19)</f>
      </c>
      <c r="Q19" s="17">
        <v>1</v>
      </c>
      <c r="R19" s="17">
        <v>4</v>
      </c>
      <c r="S19" s="17">
        <v>3</v>
      </c>
      <c r="T19" s="17">
        <v>1</v>
      </c>
      <c r="U19" s="17">
        <v>163</v>
      </c>
      <c r="V19" s="17">
        <v>53.8</v>
      </c>
      <c r="W19" s="17">
        <v>53.8</v>
      </c>
      <c r="X19" s="15" t="s">
        <v>50</v>
      </c>
      <c r="Y19" s="18">
        <v>1000</v>
      </c>
      <c r="Z19" s="18">
        <v>709.5</v>
      </c>
      <c r="AA19" s="18">
        <v>0</v>
      </c>
      <c r="AB19" s="18">
        <v>1000</v>
      </c>
      <c r="AC19" s="19">
        <v>2</v>
      </c>
      <c r="AD19" s="19">
        <v>1</v>
      </c>
      <c r="AE19" s="19">
        <v>0</v>
      </c>
      <c r="AF19" s="19">
        <v>3</v>
      </c>
      <c r="AG19" s="20"/>
      <c r="AH19" s="21"/>
      <c r="AI19" s="20"/>
      <c r="AJ19" s="21"/>
      <c r="AK19" s="21"/>
      <c r="AL19" s="21"/>
      <c r="AM19" s="21"/>
      <c r="AN19" s="21"/>
      <c r="AO19" s="21"/>
      <c r="AP19" s="20"/>
      <c r="AQ19" s="20"/>
      <c r="AR19" s="20"/>
    </row>
    <row x14ac:dyDescent="0.25" r="20" customHeight="1" ht="16.5">
      <c r="A20" s="14">
        <v>19</v>
      </c>
      <c r="B20" s="15" t="s">
        <v>51</v>
      </c>
      <c r="C20" s="22">
        <v>0.0178</v>
      </c>
      <c r="D20" s="22">
        <v>0.01245</v>
      </c>
      <c r="E20" s="22">
        <v>0.07046</v>
      </c>
      <c r="F20" s="22">
        <v>0.00606</v>
      </c>
      <c r="G20" s="22">
        <v>0.03796</v>
      </c>
      <c r="H20" s="22">
        <v>0.04573</v>
      </c>
      <c r="I20" s="17">
        <f>H20/D20</f>
      </c>
      <c r="J20" s="17">
        <f>F20/D20</f>
      </c>
      <c r="K20" s="17">
        <f>G20/C20</f>
      </c>
      <c r="L20" s="17">
        <f>E20/C20</f>
      </c>
      <c r="M20" s="17">
        <f>LN(I20)</f>
      </c>
      <c r="N20" s="17">
        <f>LN(J20)</f>
      </c>
      <c r="O20" s="17">
        <f>LN(K20)</f>
      </c>
      <c r="P20" s="17">
        <f>LN(L20)</f>
      </c>
      <c r="Q20" s="17">
        <v>4</v>
      </c>
      <c r="R20" s="17">
        <v>1</v>
      </c>
      <c r="S20" s="17">
        <v>1</v>
      </c>
      <c r="T20" s="17">
        <v>1</v>
      </c>
      <c r="U20" s="17">
        <v>141.5</v>
      </c>
      <c r="V20" s="17">
        <v>40.8</v>
      </c>
      <c r="W20" s="17">
        <v>40.8</v>
      </c>
      <c r="X20" s="15" t="s">
        <v>51</v>
      </c>
      <c r="Y20" s="18">
        <v>1000</v>
      </c>
      <c r="Z20" s="18">
        <v>859.5</v>
      </c>
      <c r="AA20" s="18">
        <v>0</v>
      </c>
      <c r="AB20" s="18">
        <v>1000</v>
      </c>
      <c r="AC20" s="19">
        <v>1</v>
      </c>
      <c r="AD20" s="19">
        <v>1</v>
      </c>
      <c r="AE20" s="19">
        <v>0</v>
      </c>
      <c r="AF20" s="19">
        <v>1</v>
      </c>
      <c r="AG20" s="20"/>
      <c r="AH20" s="21"/>
      <c r="AI20" s="20"/>
      <c r="AJ20" s="21"/>
      <c r="AK20" s="21"/>
      <c r="AL20" s="21"/>
      <c r="AM20" s="21"/>
      <c r="AN20" s="21"/>
      <c r="AO20" s="20"/>
      <c r="AP20" s="20"/>
      <c r="AQ20" s="20"/>
      <c r="AR20" s="20"/>
    </row>
    <row x14ac:dyDescent="0.25" r="21" customHeight="1" ht="16.5">
      <c r="A21" s="23">
        <v>20</v>
      </c>
      <c r="B21" s="24" t="s">
        <v>52</v>
      </c>
      <c r="C21" s="25">
        <v>0.05196</v>
      </c>
      <c r="D21" s="25">
        <v>0.03487</v>
      </c>
      <c r="E21" s="25">
        <v>0.18216</v>
      </c>
      <c r="F21" s="25">
        <v>0.01146</v>
      </c>
      <c r="G21" s="25">
        <v>0.23568</v>
      </c>
      <c r="H21" s="25">
        <v>0.13455</v>
      </c>
      <c r="I21" s="26">
        <f>H21/D21</f>
      </c>
      <c r="J21" s="26">
        <f>F21/D21</f>
      </c>
      <c r="K21" s="26">
        <f>G21/C21</f>
      </c>
      <c r="L21" s="26">
        <f>E21/C21</f>
      </c>
      <c r="M21" s="27">
        <f>LN(I21)</f>
      </c>
      <c r="N21" s="27">
        <f>LN(J21)</f>
      </c>
      <c r="O21" s="27">
        <f>LN(K21)</f>
      </c>
      <c r="P21" s="27">
        <f>LN(L21)</f>
      </c>
      <c r="Q21" s="17">
        <v>1</v>
      </c>
      <c r="R21" s="17">
        <v>3</v>
      </c>
      <c r="S21" s="17">
        <v>3</v>
      </c>
      <c r="T21" s="17">
        <v>1</v>
      </c>
      <c r="U21" s="17">
        <v>217</v>
      </c>
      <c r="V21" s="17">
        <v>37.6</v>
      </c>
      <c r="W21" s="17">
        <v>37.6</v>
      </c>
      <c r="X21" s="15" t="s">
        <v>52</v>
      </c>
      <c r="Y21" s="17">
        <v>912</v>
      </c>
      <c r="Z21" s="17">
        <v>370</v>
      </c>
      <c r="AA21" s="28">
        <v>0</v>
      </c>
      <c r="AB21" s="28">
        <v>1000</v>
      </c>
      <c r="AC21" s="29"/>
      <c r="AD21" s="29"/>
      <c r="AE21" s="28">
        <v>0</v>
      </c>
      <c r="AF21" s="28">
        <v>2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</row>
    <row x14ac:dyDescent="0.25" r="22" customHeight="1" ht="16.5">
      <c r="A22" s="23">
        <v>21</v>
      </c>
      <c r="B22" s="24" t="s">
        <v>53</v>
      </c>
      <c r="C22" s="25">
        <v>0.08691</v>
      </c>
      <c r="D22" s="25">
        <v>0.05751</v>
      </c>
      <c r="E22" s="25">
        <v>0.13687</v>
      </c>
      <c r="F22" s="25">
        <v>0.0242</v>
      </c>
      <c r="G22" s="25">
        <v>0.32751</v>
      </c>
      <c r="H22" s="25">
        <v>0.16184</v>
      </c>
      <c r="I22" s="26">
        <f>H22/D22</f>
      </c>
      <c r="J22" s="26">
        <f>F22/D22</f>
      </c>
      <c r="K22" s="26">
        <f>G22/C22</f>
      </c>
      <c r="L22" s="26">
        <f>E22/C22</f>
      </c>
      <c r="M22" s="27">
        <f>LN(I22)</f>
      </c>
      <c r="N22" s="27">
        <f>LN(J22)</f>
      </c>
      <c r="O22" s="27">
        <f>LN(K22)</f>
      </c>
      <c r="P22" s="27">
        <f>LN(L22)</f>
      </c>
      <c r="Q22" s="17">
        <v>9</v>
      </c>
      <c r="R22" s="17">
        <v>2</v>
      </c>
      <c r="S22" s="17">
        <v>1</v>
      </c>
      <c r="T22" s="17">
        <v>1</v>
      </c>
      <c r="U22" s="17">
        <v>181.5</v>
      </c>
      <c r="V22" s="17">
        <v>35.4</v>
      </c>
      <c r="W22" s="17">
        <v>33.8</v>
      </c>
      <c r="X22" s="15" t="s">
        <v>53</v>
      </c>
      <c r="Y22" s="28">
        <v>1000</v>
      </c>
      <c r="Z22" s="28">
        <v>185</v>
      </c>
      <c r="AA22" s="28">
        <v>1000</v>
      </c>
      <c r="AB22" s="28">
        <v>1000</v>
      </c>
      <c r="AC22" s="28">
        <v>1</v>
      </c>
      <c r="AD22" s="28">
        <v>1</v>
      </c>
      <c r="AE22" s="28">
        <v>1</v>
      </c>
      <c r="AF22" s="28">
        <v>2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</row>
    <row x14ac:dyDescent="0.25" r="23" customHeight="1" ht="16.5">
      <c r="A23" s="23">
        <v>23</v>
      </c>
      <c r="B23" s="24" t="s">
        <v>54</v>
      </c>
      <c r="C23" s="25">
        <v>0.02875</v>
      </c>
      <c r="D23" s="25">
        <v>0.02345</v>
      </c>
      <c r="E23" s="25">
        <v>0.05278</v>
      </c>
      <c r="F23" s="25">
        <v>0.01027</v>
      </c>
      <c r="G23" s="25">
        <v>0.09675</v>
      </c>
      <c r="H23" s="25">
        <v>0.06723</v>
      </c>
      <c r="I23" s="26">
        <f>H23/D23</f>
      </c>
      <c r="J23" s="26">
        <f>F23/D23</f>
      </c>
      <c r="K23" s="26">
        <f>G23/C23</f>
      </c>
      <c r="L23" s="26">
        <f>E23/C23</f>
      </c>
      <c r="M23" s="27">
        <f>LN(I23)</f>
      </c>
      <c r="N23" s="27">
        <f>LN(J23)</f>
      </c>
      <c r="O23" s="27">
        <f>LN(K23)</f>
      </c>
      <c r="P23" s="27">
        <f>LN(L23)</f>
      </c>
      <c r="Q23" s="17">
        <v>4</v>
      </c>
      <c r="R23" s="17">
        <v>1</v>
      </c>
      <c r="S23" s="17">
        <v>0</v>
      </c>
      <c r="T23" s="17">
        <v>1</v>
      </c>
      <c r="U23" s="17">
        <v>208.5</v>
      </c>
      <c r="V23" s="17">
        <v>46.5</v>
      </c>
      <c r="W23" s="17">
        <v>0</v>
      </c>
      <c r="X23" s="15" t="s">
        <v>54</v>
      </c>
      <c r="Y23" s="17">
        <v>0</v>
      </c>
      <c r="Z23" s="17">
        <v>909</v>
      </c>
      <c r="AA23" s="17">
        <v>0</v>
      </c>
      <c r="AB23" s="28">
        <v>994</v>
      </c>
      <c r="AC23" s="17">
        <v>0</v>
      </c>
      <c r="AD23" s="17">
        <v>1</v>
      </c>
      <c r="AE23" s="17">
        <v>0</v>
      </c>
      <c r="AF23" s="28">
        <v>1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</row>
    <row x14ac:dyDescent="0.25" r="24" customHeight="1" ht="16.5">
      <c r="A24" s="23">
        <v>24</v>
      </c>
      <c r="B24" s="24" t="s">
        <v>55</v>
      </c>
      <c r="C24" s="25">
        <v>0.08295</v>
      </c>
      <c r="D24" s="25">
        <v>0.05881</v>
      </c>
      <c r="E24" s="25">
        <v>0.1877</v>
      </c>
      <c r="F24" s="25">
        <v>0.05679</v>
      </c>
      <c r="G24" s="25">
        <v>0.31944</v>
      </c>
      <c r="H24" s="25">
        <v>0.23219</v>
      </c>
      <c r="I24" s="26">
        <f>H24/D24</f>
      </c>
      <c r="J24" s="26">
        <f>F24/D24</f>
      </c>
      <c r="K24" s="26">
        <f>G24/C24</f>
      </c>
      <c r="L24" s="26">
        <f>E24/C24</f>
      </c>
      <c r="M24" s="27">
        <f>LN(I24)</f>
      </c>
      <c r="N24" s="27">
        <f>LN(J24)</f>
      </c>
      <c r="O24" s="27">
        <f>LN(K24)</f>
      </c>
      <c r="P24" s="27">
        <f>LN(L24)</f>
      </c>
      <c r="Q24" s="28">
        <v>1</v>
      </c>
      <c r="R24" s="28">
        <v>1</v>
      </c>
      <c r="S24" s="28">
        <v>1</v>
      </c>
      <c r="T24" s="28">
        <v>1</v>
      </c>
      <c r="U24" s="28">
        <v>181</v>
      </c>
      <c r="V24" s="17">
        <v>40.3</v>
      </c>
      <c r="W24" s="17">
        <v>40.3</v>
      </c>
      <c r="X24" s="15" t="s">
        <v>55</v>
      </c>
      <c r="Y24" s="28">
        <v>1000</v>
      </c>
      <c r="Z24" s="28">
        <v>611</v>
      </c>
      <c r="AA24" s="28">
        <v>674</v>
      </c>
      <c r="AB24" s="28">
        <v>1000</v>
      </c>
      <c r="AC24" s="28">
        <v>1</v>
      </c>
      <c r="AD24" s="28">
        <v>1</v>
      </c>
      <c r="AE24" s="28">
        <v>2</v>
      </c>
      <c r="AF24" s="28">
        <v>1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</row>
    <row x14ac:dyDescent="0.25" r="25" customHeight="1" ht="16.5">
      <c r="A25" s="23">
        <v>25</v>
      </c>
      <c r="B25" s="24" t="s">
        <v>56</v>
      </c>
      <c r="C25" s="25">
        <v>0.00153</v>
      </c>
      <c r="D25" s="25">
        <v>0.00137</v>
      </c>
      <c r="E25" s="25">
        <v>0.00297</v>
      </c>
      <c r="F25" s="25">
        <v>0.00007</v>
      </c>
      <c r="G25" s="25">
        <v>0.00496</v>
      </c>
      <c r="H25" s="25">
        <v>0.00349</v>
      </c>
      <c r="I25" s="26">
        <f>H25/D25</f>
      </c>
      <c r="J25" s="26">
        <f>F25/D25</f>
      </c>
      <c r="K25" s="26">
        <f>G25/C25</f>
      </c>
      <c r="L25" s="26">
        <f>E25/C25</f>
      </c>
      <c r="M25" s="27">
        <f>LN(I25)</f>
      </c>
      <c r="N25" s="27">
        <f>LN(J25)</f>
      </c>
      <c r="O25" s="27">
        <f>LN(K25)</f>
      </c>
      <c r="P25" s="27">
        <f>LN(L25)</f>
      </c>
      <c r="Q25" s="28">
        <v>4</v>
      </c>
      <c r="R25" s="28">
        <v>1</v>
      </c>
      <c r="S25" s="28">
        <v>0</v>
      </c>
      <c r="T25" s="28">
        <v>1</v>
      </c>
      <c r="U25" s="17">
        <v>76.5</v>
      </c>
      <c r="V25" s="17">
        <v>46.5</v>
      </c>
      <c r="W25" s="28">
        <v>0</v>
      </c>
      <c r="X25" s="15" t="s">
        <v>56</v>
      </c>
      <c r="Y25" s="28">
        <v>1000</v>
      </c>
      <c r="Z25" s="28">
        <v>685</v>
      </c>
      <c r="AA25" s="28">
        <v>942</v>
      </c>
      <c r="AB25" s="28">
        <v>1000</v>
      </c>
      <c r="AC25" s="28">
        <v>1</v>
      </c>
      <c r="AD25" s="28">
        <v>1</v>
      </c>
      <c r="AE25" s="28">
        <v>1</v>
      </c>
      <c r="AF25" s="28">
        <v>1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</row>
    <row x14ac:dyDescent="0.25" r="26" customHeight="1" ht="16.5">
      <c r="A26" s="23">
        <v>26</v>
      </c>
      <c r="B26" s="24" t="s">
        <v>57</v>
      </c>
      <c r="C26" s="25">
        <v>0.01115</v>
      </c>
      <c r="D26" s="25">
        <v>0.01112</v>
      </c>
      <c r="E26" s="25">
        <v>0.00975</v>
      </c>
      <c r="F26" s="25">
        <v>0.00395</v>
      </c>
      <c r="G26" s="25">
        <v>0.04814</v>
      </c>
      <c r="H26" s="25">
        <v>0.02027</v>
      </c>
      <c r="I26" s="26">
        <f>H26/D26</f>
      </c>
      <c r="J26" s="26">
        <f>F26/D26</f>
      </c>
      <c r="K26" s="26">
        <f>G26/C26</f>
      </c>
      <c r="L26" s="26">
        <f>E26/C26</f>
      </c>
      <c r="M26" s="27">
        <f>LN(I26)</f>
      </c>
      <c r="N26" s="27">
        <f>LN(J26)</f>
      </c>
      <c r="O26" s="27">
        <f>LN(K26)</f>
      </c>
      <c r="P26" s="27">
        <f>LN(L26)</f>
      </c>
      <c r="Q26" s="28">
        <v>6</v>
      </c>
      <c r="R26" s="28">
        <v>2</v>
      </c>
      <c r="S26" s="28">
        <v>0</v>
      </c>
      <c r="T26" s="28">
        <v>1</v>
      </c>
      <c r="U26" s="17">
        <v>216.5</v>
      </c>
      <c r="V26" s="17">
        <v>45.5</v>
      </c>
      <c r="W26" s="28">
        <v>0</v>
      </c>
      <c r="X26" s="15" t="s">
        <v>57</v>
      </c>
      <c r="Y26" s="17">
        <v>674.5</v>
      </c>
      <c r="Z26" s="28">
        <v>389</v>
      </c>
      <c r="AA26" s="28">
        <v>776</v>
      </c>
      <c r="AB26" s="28">
        <v>1000</v>
      </c>
      <c r="AC26" s="28">
        <v>2</v>
      </c>
      <c r="AD26" s="28">
        <v>1</v>
      </c>
      <c r="AE26" s="28">
        <v>1</v>
      </c>
      <c r="AF26" s="28">
        <v>3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</row>
    <row x14ac:dyDescent="0.25" r="27" customHeight="1" ht="16.5">
      <c r="A27" s="23">
        <v>27</v>
      </c>
      <c r="B27" s="24" t="s">
        <v>58</v>
      </c>
      <c r="C27" s="25">
        <v>0.01313</v>
      </c>
      <c r="D27" s="25">
        <v>0.00837</v>
      </c>
      <c r="E27" s="25">
        <v>0.01269</v>
      </c>
      <c r="F27" s="25">
        <v>0.00011</v>
      </c>
      <c r="G27" s="25">
        <v>0.01892</v>
      </c>
      <c r="H27" s="25">
        <v>0.03787</v>
      </c>
      <c r="I27" s="26">
        <f>H27/D27</f>
      </c>
      <c r="J27" s="26">
        <f>F27/D27</f>
      </c>
      <c r="K27" s="26">
        <f>G27/C27</f>
      </c>
      <c r="L27" s="26">
        <f>E27/C27</f>
      </c>
      <c r="M27" s="27">
        <f>LN(I27)</f>
      </c>
      <c r="N27" s="27">
        <f>LN(J27)</f>
      </c>
      <c r="O27" s="27">
        <f>LN(K27)</f>
      </c>
      <c r="P27" s="27">
        <f>LN(L27)</f>
      </c>
      <c r="Q27" s="28">
        <v>2</v>
      </c>
      <c r="R27" s="28">
        <v>1</v>
      </c>
      <c r="S27" s="28">
        <v>1</v>
      </c>
      <c r="T27" s="28">
        <v>1</v>
      </c>
      <c r="U27" s="28">
        <v>84</v>
      </c>
      <c r="V27" s="17">
        <v>38.2</v>
      </c>
      <c r="W27" s="17">
        <v>38.2</v>
      </c>
      <c r="X27" s="15" t="s">
        <v>58</v>
      </c>
      <c r="Y27" s="28">
        <v>0</v>
      </c>
      <c r="Z27" s="28">
        <v>609</v>
      </c>
      <c r="AA27" s="28">
        <v>0</v>
      </c>
      <c r="AB27" s="28">
        <v>1000</v>
      </c>
      <c r="AC27" s="28">
        <v>0</v>
      </c>
      <c r="AD27" s="28">
        <v>1</v>
      </c>
      <c r="AE27" s="28">
        <v>0</v>
      </c>
      <c r="AF27" s="28">
        <v>1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</row>
    <row x14ac:dyDescent="0.25" r="28" customHeight="1" ht="16.5">
      <c r="A28" s="23">
        <v>28</v>
      </c>
      <c r="B28" s="24" t="s">
        <v>59</v>
      </c>
      <c r="C28" s="25">
        <v>0.12232</v>
      </c>
      <c r="D28" s="25">
        <v>0.02862</v>
      </c>
      <c r="E28" s="25">
        <v>0.12014</v>
      </c>
      <c r="F28" s="25">
        <v>0.00865</v>
      </c>
      <c r="G28" s="25">
        <v>0.12922</v>
      </c>
      <c r="H28" s="25">
        <v>0.36829</v>
      </c>
      <c r="I28" s="26">
        <f>H28/D28</f>
      </c>
      <c r="J28" s="26">
        <f>F28/D28</f>
      </c>
      <c r="K28" s="26">
        <f>G28/C28</f>
      </c>
      <c r="L28" s="26">
        <f>E28/C28</f>
      </c>
      <c r="M28" s="27">
        <f>LN(I28)</f>
      </c>
      <c r="N28" s="27">
        <f>LN(J28)</f>
      </c>
      <c r="O28" s="27">
        <f>LN(K28)</f>
      </c>
      <c r="P28" s="27">
        <f>LN(L28)</f>
      </c>
      <c r="Q28" s="28">
        <v>6</v>
      </c>
      <c r="R28" s="28">
        <v>5</v>
      </c>
      <c r="S28" s="28">
        <v>1</v>
      </c>
      <c r="T28" s="28">
        <v>2</v>
      </c>
      <c r="U28" s="17">
        <v>188.5</v>
      </c>
      <c r="V28" s="17">
        <v>47.5</v>
      </c>
      <c r="W28" s="17">
        <v>41.7</v>
      </c>
      <c r="X28" s="15" t="s">
        <v>59</v>
      </c>
      <c r="Y28" s="28">
        <v>0</v>
      </c>
      <c r="Z28" s="28">
        <v>185</v>
      </c>
      <c r="AA28" s="28">
        <v>370</v>
      </c>
      <c r="AB28" s="28">
        <v>1000</v>
      </c>
      <c r="AC28" s="28">
        <v>0</v>
      </c>
      <c r="AD28" s="28">
        <v>1</v>
      </c>
      <c r="AE28" s="28">
        <v>1</v>
      </c>
      <c r="AF28" s="28">
        <v>1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</row>
    <row x14ac:dyDescent="0.25" r="29" customHeight="1" ht="16.5">
      <c r="A29" s="23">
        <v>29</v>
      </c>
      <c r="B29" s="24" t="s">
        <v>60</v>
      </c>
      <c r="C29" s="25">
        <v>0.01187</v>
      </c>
      <c r="D29" s="25">
        <v>0.00655</v>
      </c>
      <c r="E29" s="25">
        <v>0.0131</v>
      </c>
      <c r="F29" s="25">
        <v>0.00018</v>
      </c>
      <c r="G29" s="25">
        <v>0.07531</v>
      </c>
      <c r="H29" s="25">
        <v>0.01672</v>
      </c>
      <c r="I29" s="26">
        <f>H29/D29</f>
      </c>
      <c r="J29" s="26">
        <f>F29/D29</f>
      </c>
      <c r="K29" s="26">
        <f>G29/C29</f>
      </c>
      <c r="L29" s="26">
        <f>E29/C29</f>
      </c>
      <c r="M29" s="27">
        <f>LN(I29)</f>
      </c>
      <c r="N29" s="27">
        <f>LN(J29)</f>
      </c>
      <c r="O29" s="27">
        <f>LN(K29)</f>
      </c>
      <c r="P29" s="27">
        <f>LN(L29)</f>
      </c>
      <c r="Q29" s="30"/>
      <c r="R29" s="31"/>
      <c r="S29" s="29"/>
      <c r="T29" s="29"/>
      <c r="U29" s="31"/>
      <c r="V29" s="31"/>
      <c r="W29" s="31"/>
      <c r="X29" s="15" t="s">
        <v>60</v>
      </c>
      <c r="Y29" s="29"/>
      <c r="Z29" s="29"/>
      <c r="AA29" s="29"/>
      <c r="AB29" s="29"/>
      <c r="AC29" s="29"/>
      <c r="AD29" s="29"/>
      <c r="AE29" s="29"/>
      <c r="AF29" s="29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</row>
    <row x14ac:dyDescent="0.25" r="30" customHeight="1" ht="16.5" customFormat="1" s="1">
      <c r="A30" s="14"/>
      <c r="B30" s="15"/>
      <c r="C30" s="32"/>
      <c r="D30" s="32"/>
      <c r="E30" s="32"/>
      <c r="F30" s="32"/>
      <c r="G30" s="32"/>
      <c r="H30" s="32"/>
      <c r="I30" s="4"/>
      <c r="J30" s="4"/>
      <c r="K30" s="5"/>
      <c r="L30" s="4"/>
      <c r="M30" s="5"/>
      <c r="N30" s="4"/>
      <c r="O30" s="5"/>
      <c r="P30" s="4"/>
      <c r="Q30" s="6" t="s">
        <v>14</v>
      </c>
      <c r="R30" s="6" t="s">
        <v>15</v>
      </c>
      <c r="S30" s="7" t="s">
        <v>16</v>
      </c>
      <c r="T30" s="7" t="s">
        <v>17</v>
      </c>
      <c r="U30" s="6" t="s">
        <v>18</v>
      </c>
      <c r="V30" s="6" t="s">
        <v>19</v>
      </c>
      <c r="W30" s="6" t="s">
        <v>20</v>
      </c>
      <c r="X30" s="33" t="s">
        <v>61</v>
      </c>
      <c r="Y30" s="8" t="s">
        <v>21</v>
      </c>
      <c r="Z30" s="8" t="s">
        <v>22</v>
      </c>
      <c r="AA30" s="8" t="s">
        <v>23</v>
      </c>
      <c r="AB30" s="8" t="s">
        <v>24</v>
      </c>
      <c r="AC30" s="9" t="s">
        <v>25</v>
      </c>
      <c r="AD30" s="9" t="s">
        <v>26</v>
      </c>
      <c r="AE30" s="9" t="s">
        <v>27</v>
      </c>
      <c r="AF30" s="9" t="s">
        <v>28</v>
      </c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x14ac:dyDescent="0.25" r="31" customHeight="1" ht="16.5" customFormat="1" s="1">
      <c r="A31" s="14"/>
      <c r="B31" s="15"/>
      <c r="C31" s="32"/>
      <c r="D31" s="32"/>
      <c r="E31" s="32"/>
      <c r="F31" s="32"/>
      <c r="G31" s="32"/>
      <c r="H31" s="32"/>
      <c r="I31" s="4"/>
      <c r="J31" s="4"/>
      <c r="K31" s="5"/>
      <c r="L31" s="4"/>
      <c r="M31" s="5"/>
      <c r="N31" s="4"/>
      <c r="O31" s="5"/>
      <c r="P31" s="4"/>
      <c r="Q31" s="5"/>
      <c r="R31" s="4"/>
      <c r="S31" s="2"/>
      <c r="T31" s="2"/>
      <c r="U31" s="4"/>
      <c r="V31" s="4"/>
      <c r="W31" s="4"/>
      <c r="X31" s="15"/>
      <c r="Y31" s="2"/>
      <c r="Z31" s="2"/>
      <c r="AA31" s="2"/>
      <c r="AB31" s="2"/>
      <c r="AC31" s="2"/>
      <c r="AD31" s="2"/>
      <c r="AE31" s="2"/>
      <c r="AF31" s="2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x14ac:dyDescent="0.25" r="32" customHeight="1" ht="16.5">
      <c r="A32" s="2"/>
      <c r="B32" s="3"/>
      <c r="C32" s="4"/>
      <c r="D32" s="4"/>
      <c r="E32" s="4"/>
      <c r="F32" s="4"/>
      <c r="G32" s="4"/>
      <c r="H32" s="4"/>
      <c r="I32" s="31"/>
      <c r="J32" s="31"/>
      <c r="K32" s="30"/>
      <c r="L32" s="31"/>
      <c r="M32" s="30"/>
      <c r="N32" s="31"/>
      <c r="O32" s="30"/>
      <c r="P32" s="31"/>
      <c r="Q32" s="30"/>
      <c r="R32" s="31"/>
      <c r="S32" s="29"/>
      <c r="T32" s="29"/>
      <c r="U32" s="31"/>
      <c r="V32" s="31"/>
      <c r="W32" s="31"/>
      <c r="X32" s="3"/>
      <c r="Y32" s="29"/>
      <c r="Z32" s="29"/>
      <c r="AA32" s="29"/>
      <c r="AB32" s="29"/>
      <c r="AC32" s="29"/>
      <c r="AD32" s="29"/>
      <c r="AE32" s="29"/>
      <c r="AF32" s="29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</row>
    <row x14ac:dyDescent="0.25" r="33" customHeight="1" ht="16.5">
      <c r="A33" s="2"/>
      <c r="B33" s="3"/>
      <c r="C33" s="4"/>
      <c r="D33" s="4"/>
      <c r="E33" s="4"/>
      <c r="F33" s="4"/>
      <c r="G33" s="4"/>
      <c r="H33" s="4"/>
      <c r="I33" s="31"/>
      <c r="J33" s="31"/>
      <c r="K33" s="30"/>
      <c r="L33" s="31"/>
      <c r="M33" s="30"/>
      <c r="N33" s="31"/>
      <c r="O33" s="30"/>
      <c r="P33" s="31"/>
      <c r="Q33" s="30"/>
      <c r="R33" s="31"/>
      <c r="S33" s="29"/>
      <c r="T33" s="29"/>
      <c r="U33" s="31"/>
      <c r="V33" s="31"/>
      <c r="W33" s="31"/>
      <c r="X33" s="3"/>
      <c r="Y33" s="29"/>
      <c r="Z33" s="29"/>
      <c r="AA33" s="29"/>
      <c r="AB33" s="29"/>
      <c r="AC33" s="29"/>
      <c r="AD33" s="29"/>
      <c r="AE33" s="29"/>
      <c r="AF33" s="29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</row>
    <row x14ac:dyDescent="0.25" r="34" customHeight="1" ht="16.5">
      <c r="A34" s="2"/>
      <c r="B34" s="3"/>
      <c r="C34" s="4"/>
      <c r="D34" s="4"/>
      <c r="E34" s="4"/>
      <c r="F34" s="4"/>
      <c r="G34" s="4"/>
      <c r="H34" s="4"/>
      <c r="I34" s="31"/>
      <c r="J34" s="31"/>
      <c r="K34" s="30"/>
      <c r="L34" s="31"/>
      <c r="M34" s="30"/>
      <c r="N34" s="31"/>
      <c r="O34" s="30"/>
      <c r="P34" s="31"/>
      <c r="Q34" s="30"/>
      <c r="R34" s="31"/>
      <c r="S34" s="29"/>
      <c r="T34" s="29"/>
      <c r="U34" s="31"/>
      <c r="V34" s="31"/>
      <c r="W34" s="31"/>
      <c r="X34" s="3"/>
      <c r="Y34" s="29"/>
      <c r="Z34" s="29"/>
      <c r="AA34" s="29"/>
      <c r="AB34" s="29"/>
      <c r="AC34" s="29"/>
      <c r="AD34" s="29"/>
      <c r="AE34" s="29"/>
      <c r="AF34" s="29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</row>
    <row x14ac:dyDescent="0.25" r="35" customHeight="1" ht="16.5">
      <c r="A35" s="2"/>
      <c r="B35" s="3"/>
      <c r="C35" s="4"/>
      <c r="D35" s="4"/>
      <c r="E35" s="4"/>
      <c r="F35" s="4"/>
      <c r="G35" s="4"/>
      <c r="H35" s="4"/>
      <c r="I35" s="31"/>
      <c r="J35" s="31"/>
      <c r="K35" s="30"/>
      <c r="L35" s="31"/>
      <c r="M35" s="30"/>
      <c r="N35" s="31"/>
      <c r="O35" s="30"/>
      <c r="P35" s="31"/>
      <c r="Q35" s="30"/>
      <c r="R35" s="31"/>
      <c r="S35" s="29"/>
      <c r="T35" s="29"/>
      <c r="U35" s="31"/>
      <c r="V35" s="31"/>
      <c r="W35" s="31"/>
      <c r="X35" s="3"/>
      <c r="Y35" s="29"/>
      <c r="Z35" s="29"/>
      <c r="AA35" s="29"/>
      <c r="AB35" s="29"/>
      <c r="AC35" s="29"/>
      <c r="AD35" s="29"/>
      <c r="AE35" s="29"/>
      <c r="AF35" s="29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</row>
    <row x14ac:dyDescent="0.25" r="36" customHeight="1" ht="16.5">
      <c r="A36" s="2"/>
      <c r="B36" s="3"/>
      <c r="C36" s="4"/>
      <c r="D36" s="4"/>
      <c r="E36" s="4"/>
      <c r="F36" s="4"/>
      <c r="G36" s="4"/>
      <c r="H36" s="4"/>
      <c r="I36" s="31"/>
      <c r="J36" s="31"/>
      <c r="K36" s="30"/>
      <c r="L36" s="31"/>
      <c r="M36" s="30"/>
      <c r="N36" s="31"/>
      <c r="O36" s="30"/>
      <c r="P36" s="31"/>
      <c r="Q36" s="30"/>
      <c r="R36" s="31"/>
      <c r="S36" s="29"/>
      <c r="T36" s="29"/>
      <c r="U36" s="31"/>
      <c r="V36" s="31"/>
      <c r="W36" s="31"/>
      <c r="X36" s="3"/>
      <c r="Y36" s="29"/>
      <c r="Z36" s="29"/>
      <c r="AA36" s="29"/>
      <c r="AB36" s="29"/>
      <c r="AC36" s="29"/>
      <c r="AD36" s="29"/>
      <c r="AE36" s="29"/>
      <c r="AF36" s="29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</row>
    <row x14ac:dyDescent="0.25" r="37" customHeight="1" ht="16.5">
      <c r="A37" s="2"/>
      <c r="B37" s="3"/>
      <c r="C37" s="4"/>
      <c r="D37" s="4"/>
      <c r="E37" s="4"/>
      <c r="F37" s="4"/>
      <c r="G37" s="4"/>
      <c r="H37" s="4"/>
      <c r="I37" s="31"/>
      <c r="J37" s="31"/>
      <c r="K37" s="30"/>
      <c r="L37" s="31"/>
      <c r="M37" s="30"/>
      <c r="N37" s="31"/>
      <c r="O37" s="30"/>
      <c r="P37" s="31"/>
      <c r="Q37" s="30"/>
      <c r="R37" s="31"/>
      <c r="S37" s="29"/>
      <c r="T37" s="29"/>
      <c r="U37" s="31"/>
      <c r="V37" s="31"/>
      <c r="W37" s="31"/>
      <c r="X37" s="3"/>
      <c r="Y37" s="29"/>
      <c r="Z37" s="29"/>
      <c r="AA37" s="29"/>
      <c r="AB37" s="29"/>
      <c r="AC37" s="29"/>
      <c r="AD37" s="29"/>
      <c r="AE37" s="29"/>
      <c r="AF37" s="29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</row>
    <row x14ac:dyDescent="0.25" r="38" customHeight="1" ht="16.5">
      <c r="A38" s="2"/>
      <c r="B38" s="3"/>
      <c r="C38" s="4"/>
      <c r="D38" s="4"/>
      <c r="E38" s="4"/>
      <c r="F38" s="4"/>
      <c r="G38" s="4"/>
      <c r="H38" s="4"/>
      <c r="I38" s="31"/>
      <c r="J38" s="31"/>
      <c r="K38" s="30"/>
      <c r="L38" s="31"/>
      <c r="M38" s="30"/>
      <c r="N38" s="31"/>
      <c r="O38" s="30"/>
      <c r="P38" s="31"/>
      <c r="Q38" s="30"/>
      <c r="R38" s="31"/>
      <c r="S38" s="29"/>
      <c r="T38" s="29"/>
      <c r="U38" s="31"/>
      <c r="V38" s="31"/>
      <c r="W38" s="31"/>
      <c r="X38" s="3"/>
      <c r="Y38" s="29"/>
      <c r="Z38" s="29"/>
      <c r="AA38" s="29"/>
      <c r="AB38" s="29"/>
      <c r="AC38" s="29"/>
      <c r="AD38" s="29"/>
      <c r="AE38" s="29"/>
      <c r="AF38" s="29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</row>
    <row x14ac:dyDescent="0.25" r="39" customHeight="1" ht="16.5">
      <c r="A39" s="2"/>
      <c r="B39" s="3"/>
      <c r="C39" s="4"/>
      <c r="D39" s="4"/>
      <c r="E39" s="4"/>
      <c r="F39" s="4"/>
      <c r="G39" s="4"/>
      <c r="H39" s="4"/>
      <c r="I39" s="31"/>
      <c r="J39" s="31"/>
      <c r="K39" s="30" t="s">
        <v>62</v>
      </c>
      <c r="L39" s="31" t="s">
        <v>63</v>
      </c>
      <c r="M39" s="30" t="s">
        <v>64</v>
      </c>
      <c r="N39" s="31" t="s">
        <v>65</v>
      </c>
      <c r="O39" s="30" t="s">
        <v>66</v>
      </c>
      <c r="P39" s="31" t="s">
        <v>67</v>
      </c>
      <c r="Q39" s="30" t="s">
        <v>68</v>
      </c>
      <c r="R39" s="31" t="s">
        <v>69</v>
      </c>
      <c r="S39" s="29"/>
      <c r="T39" s="29"/>
      <c r="U39" s="31"/>
      <c r="V39" s="31"/>
      <c r="W39" s="31"/>
      <c r="X39" s="3"/>
      <c r="Y39" s="29"/>
      <c r="Z39" s="29"/>
      <c r="AA39" s="29"/>
      <c r="AB39" s="29"/>
      <c r="AC39" s="29"/>
      <c r="AD39" s="29"/>
      <c r="AE39" s="29"/>
      <c r="AF39" s="29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</row>
    <row x14ac:dyDescent="0.25" r="40" customHeight="1" ht="16.5">
      <c r="A40" s="2"/>
      <c r="B40" s="3"/>
      <c r="C40" s="4"/>
      <c r="D40" s="4"/>
      <c r="E40" s="4"/>
      <c r="F40" s="4"/>
      <c r="G40" s="4"/>
      <c r="H40" s="4"/>
      <c r="I40" s="31"/>
      <c r="J40" s="31"/>
      <c r="K40" s="17">
        <v>0.8754687373538999</v>
      </c>
      <c r="L40" s="17">
        <v>1.350309016485355</v>
      </c>
      <c r="M40" s="17">
        <v>1.32687094064909</v>
      </c>
      <c r="N40" s="17">
        <v>1.5120007609119215</v>
      </c>
      <c r="O40" s="17">
        <v>-0.48550781578170055</v>
      </c>
      <c r="P40" s="17">
        <v>1.2544112299530852</v>
      </c>
      <c r="Q40" s="17">
        <v>-0.10536051565782628</v>
      </c>
      <c r="R40" s="17">
        <v>-1.1127641494009661</v>
      </c>
      <c r="S40" s="29"/>
      <c r="T40" s="29"/>
      <c r="U40" s="31"/>
      <c r="V40" s="31"/>
      <c r="W40" s="31"/>
      <c r="X40" s="3"/>
      <c r="Y40" s="29"/>
      <c r="Z40" s="29"/>
      <c r="AA40" s="29"/>
      <c r="AB40" s="29"/>
      <c r="AC40" s="29"/>
      <c r="AD40" s="29"/>
      <c r="AE40" s="29"/>
      <c r="AF40" s="29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</row>
    <row x14ac:dyDescent="0.25" r="41" customHeight="1" ht="16.5">
      <c r="A41" s="2"/>
      <c r="B41" s="3"/>
      <c r="C41" s="4"/>
      <c r="D41" s="4"/>
      <c r="E41" s="4"/>
      <c r="F41" s="4"/>
      <c r="G41" s="4"/>
      <c r="H41" s="4"/>
      <c r="I41" s="31"/>
      <c r="J41" s="31"/>
      <c r="K41" s="17">
        <v>1.5423502104713296</v>
      </c>
      <c r="L41" s="17">
        <v>1.0346493471338274</v>
      </c>
      <c r="M41" s="17">
        <v>1.5595678313779862</v>
      </c>
      <c r="N41" s="17">
        <v>1.3266454885109191</v>
      </c>
      <c r="O41" s="17">
        <v>1.1129486551232555</v>
      </c>
      <c r="P41" s="17">
        <v>0.4541584697738062</v>
      </c>
      <c r="Q41" s="17">
        <v>-0.4919874988119581</v>
      </c>
      <c r="R41" s="17">
        <v>-0.8656062125630221</v>
      </c>
      <c r="S41" s="29"/>
      <c r="T41" s="29"/>
      <c r="U41" s="31"/>
      <c r="V41" s="31"/>
      <c r="W41" s="31"/>
      <c r="X41" s="3"/>
      <c r="Y41" s="29"/>
      <c r="Z41" s="29"/>
      <c r="AA41" s="29"/>
      <c r="AB41" s="29"/>
      <c r="AC41" s="29"/>
      <c r="AD41" s="29"/>
      <c r="AE41" s="29"/>
      <c r="AF41" s="29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</row>
    <row x14ac:dyDescent="0.25" r="42" customHeight="1" ht="16.5">
      <c r="A42" s="2"/>
      <c r="B42" s="3"/>
      <c r="C42" s="4"/>
      <c r="D42" s="4"/>
      <c r="E42" s="4"/>
      <c r="F42" s="4"/>
      <c r="G42" s="4"/>
      <c r="H42" s="4"/>
      <c r="I42" s="31"/>
      <c r="J42" s="31"/>
      <c r="K42" s="17">
        <v>0.7537718023763802</v>
      </c>
      <c r="L42" s="17">
        <v>1.053249081588657</v>
      </c>
      <c r="M42" s="17">
        <v>2.5952547069568657</v>
      </c>
      <c r="N42" s="17">
        <v>1.2134925646665318</v>
      </c>
      <c r="O42" s="17">
        <v>0.2623642644674909</v>
      </c>
      <c r="P42" s="17">
        <v>0.6074945638318185</v>
      </c>
      <c r="Q42" s="17">
        <v>0.22314355131420976</v>
      </c>
      <c r="R42" s="17">
        <v>-0.8256434709518216</v>
      </c>
      <c r="S42" s="29"/>
      <c r="T42" s="29"/>
      <c r="U42" s="31"/>
      <c r="V42" s="31"/>
      <c r="W42" s="31"/>
      <c r="X42" s="3"/>
      <c r="Y42" s="29"/>
      <c r="Z42" s="29"/>
      <c r="AA42" s="29"/>
      <c r="AB42" s="29"/>
      <c r="AC42" s="29"/>
      <c r="AD42" s="29"/>
      <c r="AE42" s="29"/>
      <c r="AF42" s="29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</row>
    <row x14ac:dyDescent="0.25" r="43" customHeight="1" ht="16.5">
      <c r="A43" s="2"/>
      <c r="B43" s="3"/>
      <c r="C43" s="4"/>
      <c r="D43" s="4"/>
      <c r="E43" s="4"/>
      <c r="F43" s="4"/>
      <c r="G43" s="4"/>
      <c r="H43" s="4"/>
      <c r="I43" s="31"/>
      <c r="J43" s="31"/>
      <c r="K43" s="17">
        <v>0.3451534263662597</v>
      </c>
      <c r="L43" s="17">
        <v>1.3732440935424097</v>
      </c>
      <c r="M43" s="17">
        <v>2.0223665856645243</v>
      </c>
      <c r="N43" s="17">
        <v>1.3483314461185125</v>
      </c>
      <c r="O43" s="17">
        <v>1.0902535773872268</v>
      </c>
      <c r="P43" s="17">
        <v>0.8166069269560097</v>
      </c>
      <c r="Q43" s="17">
        <v>-5.872117789475416</v>
      </c>
      <c r="R43" s="17">
        <v>-0.034951654582523466</v>
      </c>
      <c r="S43" s="29"/>
      <c r="T43" s="29"/>
      <c r="U43" s="31"/>
      <c r="V43" s="31"/>
      <c r="W43" s="31"/>
      <c r="X43" s="3"/>
      <c r="Y43" s="29"/>
      <c r="Z43" s="29"/>
      <c r="AA43" s="29"/>
      <c r="AB43" s="29"/>
      <c r="AC43" s="29"/>
      <c r="AD43" s="29"/>
      <c r="AE43" s="29"/>
      <c r="AF43" s="29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</row>
    <row x14ac:dyDescent="0.25" r="44" customHeight="1" ht="16.5">
      <c r="A44" s="2"/>
      <c r="B44" s="3"/>
      <c r="C44" s="4"/>
      <c r="D44" s="4"/>
      <c r="E44" s="4"/>
      <c r="F44" s="4"/>
      <c r="G44" s="4"/>
      <c r="H44" s="4"/>
      <c r="I44" s="31"/>
      <c r="J44" s="31"/>
      <c r="K44" s="17">
        <v>0.5502199631025366</v>
      </c>
      <c r="L44" s="17">
        <v>0.9350909963743024</v>
      </c>
      <c r="M44" s="17">
        <v>1.1986556630483156</v>
      </c>
      <c r="N44" s="17">
        <v>1.1761380053324921</v>
      </c>
      <c r="O44" s="17">
        <v>0.3987083256452845</v>
      </c>
      <c r="P44" s="17">
        <v>0.6632942174102643</v>
      </c>
      <c r="Q44" s="17">
        <v>-1.4685969567608645</v>
      </c>
      <c r="R44" s="17">
        <v>-2.9740707767728116</v>
      </c>
      <c r="S44" s="29"/>
      <c r="T44" s="29"/>
      <c r="U44" s="31"/>
      <c r="V44" s="31"/>
      <c r="W44" s="31"/>
      <c r="X44" s="3"/>
      <c r="Y44" s="29"/>
      <c r="Z44" s="29"/>
      <c r="AA44" s="29"/>
      <c r="AB44" s="29"/>
      <c r="AC44" s="29"/>
      <c r="AD44" s="29"/>
      <c r="AE44" s="29"/>
      <c r="AF44" s="29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</row>
    <row x14ac:dyDescent="0.25" r="45" customHeight="1" ht="16.5">
      <c r="A45" s="2"/>
      <c r="B45" s="3"/>
      <c r="C45" s="4"/>
      <c r="D45" s="4"/>
      <c r="E45" s="4"/>
      <c r="F45" s="4"/>
      <c r="G45" s="4"/>
      <c r="H45" s="4"/>
      <c r="I45" s="31"/>
      <c r="J45" s="31"/>
      <c r="K45" s="17">
        <v>0.23008951631988878</v>
      </c>
      <c r="L45" s="17">
        <v>0.6003966716414724</v>
      </c>
      <c r="M45" s="17">
        <v>0.8019686168513637</v>
      </c>
      <c r="N45" s="17">
        <v>1.462673934448798</v>
      </c>
      <c r="O45" s="17">
        <v>-0.3752571214516685</v>
      </c>
      <c r="P45" s="17">
        <v>-0.134172212896372</v>
      </c>
      <c r="Q45" s="17">
        <v>-1.306574801787354</v>
      </c>
      <c r="R45" s="17">
        <v>-1.0350297099094057</v>
      </c>
      <c r="S45" s="29"/>
      <c r="T45" s="29"/>
      <c r="U45" s="31"/>
      <c r="V45" s="31"/>
      <c r="W45" s="31"/>
      <c r="X45" s="3"/>
      <c r="Y45" s="29"/>
      <c r="Z45" s="29"/>
      <c r="AA45" s="29"/>
      <c r="AB45" s="29"/>
      <c r="AC45" s="29"/>
      <c r="AD45" s="29"/>
      <c r="AE45" s="29"/>
      <c r="AF45" s="29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</row>
    <row x14ac:dyDescent="0.25" r="46" customHeight="1" ht="16.5">
      <c r="A46" s="2"/>
      <c r="B46" s="3"/>
      <c r="C46" s="4"/>
      <c r="D46" s="4"/>
      <c r="E46" s="4"/>
      <c r="F46" s="4"/>
      <c r="G46" s="4"/>
      <c r="H46" s="4"/>
      <c r="I46" s="31"/>
      <c r="J46" s="31"/>
      <c r="K46" s="17">
        <v>1.0358059150386572</v>
      </c>
      <c r="L46" s="17">
        <v>1.5095053574123194</v>
      </c>
      <c r="M46" s="17">
        <v>1.0593859185903283</v>
      </c>
      <c r="N46" s="17">
        <v>0.3653198753090274</v>
      </c>
      <c r="O46" s="17">
        <v>0.36968916908641697</v>
      </c>
      <c r="P46" s="17">
        <v>-0.034085406588408494</v>
      </c>
      <c r="Q46" s="17">
        <v>-1.5671984832328718</v>
      </c>
      <c r="R46" s="17">
        <v>-4.331928797691105</v>
      </c>
      <c r="S46" s="29"/>
      <c r="T46" s="29"/>
      <c r="U46" s="31"/>
      <c r="V46" s="31"/>
      <c r="W46" s="31"/>
      <c r="X46" s="3"/>
      <c r="Y46" s="29"/>
      <c r="Z46" s="29"/>
      <c r="AA46" s="29"/>
      <c r="AB46" s="29"/>
      <c r="AC46" s="29"/>
      <c r="AD46" s="29"/>
      <c r="AE46" s="29"/>
      <c r="AF46" s="29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</row>
    <row x14ac:dyDescent="0.25" r="47" customHeight="1" ht="16.5">
      <c r="A47" s="2"/>
      <c r="B47" s="3"/>
      <c r="C47" s="4"/>
      <c r="D47" s="4"/>
      <c r="E47" s="4"/>
      <c r="F47" s="4"/>
      <c r="G47" s="4"/>
      <c r="H47" s="4"/>
      <c r="I47" s="31"/>
      <c r="J47" s="31"/>
      <c r="K47" s="17">
        <v>0.47586575894253114</v>
      </c>
      <c r="L47" s="17">
        <v>2.554764897175657</v>
      </c>
      <c r="M47" s="17">
        <v>1.4204965548834336</v>
      </c>
      <c r="N47" s="17">
        <v>0.05487581650921251</v>
      </c>
      <c r="O47" s="17">
        <v>0.20441251460814663</v>
      </c>
      <c r="P47" s="17">
        <v>-0.017982832198791522</v>
      </c>
      <c r="Q47" s="17">
        <v>-0.6550282224563354</v>
      </c>
      <c r="R47" s="17">
        <v>-1.196546453184517</v>
      </c>
      <c r="S47" s="29"/>
      <c r="T47" s="29"/>
      <c r="U47" s="31"/>
      <c r="V47" s="31"/>
      <c r="W47" s="31"/>
      <c r="X47" s="3"/>
      <c r="Y47" s="29"/>
      <c r="Z47" s="29"/>
      <c r="AA47" s="29"/>
      <c r="AB47" s="29"/>
      <c r="AC47" s="29"/>
      <c r="AD47" s="29"/>
      <c r="AE47" s="29"/>
      <c r="AF47" s="29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</row>
    <row x14ac:dyDescent="0.25" r="48" customHeight="1" ht="16.5">
      <c r="A48" s="2"/>
      <c r="B48" s="3"/>
      <c r="C48" s="4"/>
      <c r="D48" s="4"/>
      <c r="E48" s="4"/>
      <c r="F48" s="4"/>
      <c r="G48" s="4"/>
      <c r="H48" s="4"/>
      <c r="I48" s="31"/>
      <c r="J48" s="31"/>
      <c r="K48" s="17">
        <v>1.7199819684276003</v>
      </c>
      <c r="L48" s="17">
        <v>0.9371405580093949</v>
      </c>
      <c r="M48" s="17">
        <v>1.9550653528170705</v>
      </c>
      <c r="N48" s="17">
        <v>1.8475987194916836</v>
      </c>
      <c r="O48" s="17">
        <v>1.445724510318659</v>
      </c>
      <c r="P48" s="17">
        <v>0.09859802158552912</v>
      </c>
      <c r="Q48" s="17">
        <v>-2.081319476504036</v>
      </c>
      <c r="R48" s="17">
        <v>-3.594263477739087</v>
      </c>
      <c r="S48" s="29"/>
      <c r="T48" s="29"/>
      <c r="U48" s="31"/>
      <c r="V48" s="31"/>
      <c r="W48" s="31"/>
      <c r="X48" s="3"/>
      <c r="Y48" s="29"/>
      <c r="Z48" s="29"/>
      <c r="AA48" s="29"/>
      <c r="AB48" s="29"/>
      <c r="AC48" s="29"/>
      <c r="AD48" s="29"/>
      <c r="AE48" s="29"/>
      <c r="AF48" s="29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</row>
    <row x14ac:dyDescent="0.25" r="49" customHeight="1" ht="16.5">
      <c r="A49" s="2"/>
      <c r="B49" s="3"/>
      <c r="C49" s="4"/>
      <c r="D49" s="4"/>
      <c r="E49" s="4"/>
      <c r="F49" s="4"/>
      <c r="G49" s="4"/>
      <c r="H49" s="4"/>
      <c r="I49" s="31"/>
      <c r="J49" s="31"/>
      <c r="K49" s="17">
        <v>0.5873735271147925</v>
      </c>
      <c r="L49" s="31"/>
      <c r="M49" s="17">
        <v>1.1921548656385694</v>
      </c>
      <c r="N49" s="31"/>
      <c r="O49" s="17">
        <v>0.3616578831039558</v>
      </c>
      <c r="P49" s="31"/>
      <c r="Q49" s="17">
        <v>-1.4675769945567476</v>
      </c>
      <c r="R49" s="31"/>
      <c r="S49" s="29"/>
      <c r="T49" s="29"/>
      <c r="U49" s="31"/>
      <c r="V49" s="31"/>
      <c r="W49" s="31"/>
      <c r="X49" s="3"/>
      <c r="Y49" s="29"/>
      <c r="Z49" s="29"/>
      <c r="AA49" s="29"/>
      <c r="AB49" s="29"/>
      <c r="AC49" s="29"/>
      <c r="AD49" s="29"/>
      <c r="AE49" s="29"/>
      <c r="AF49" s="29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</row>
    <row x14ac:dyDescent="0.25" r="50" customHeight="1" ht="16.5">
      <c r="A50" s="2"/>
      <c r="B50" s="3"/>
      <c r="C50" s="4"/>
      <c r="D50" s="4"/>
      <c r="E50" s="4"/>
      <c r="F50" s="4"/>
      <c r="G50" s="4"/>
      <c r="H50" s="4"/>
      <c r="I50" s="31"/>
      <c r="J50" s="31"/>
      <c r="K50" s="17">
        <v>1.4982122773238757</v>
      </c>
      <c r="L50" s="31"/>
      <c r="M50" s="17">
        <v>2.473733349189875</v>
      </c>
      <c r="N50" s="31"/>
      <c r="O50" s="17">
        <v>1.7404661748405046</v>
      </c>
      <c r="P50" s="31"/>
      <c r="Q50" s="17">
        <v>-0.3053816495511821</v>
      </c>
      <c r="R50" s="31"/>
      <c r="S50" s="29"/>
      <c r="T50" s="29"/>
      <c r="U50" s="31"/>
      <c r="V50" s="31"/>
      <c r="W50" s="31"/>
      <c r="X50" s="3"/>
      <c r="Y50" s="29"/>
      <c r="Z50" s="29"/>
      <c r="AA50" s="29"/>
      <c r="AB50" s="29"/>
      <c r="AC50" s="29"/>
      <c r="AD50" s="29"/>
      <c r="AE50" s="29"/>
      <c r="AF50" s="29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</row>
    <row x14ac:dyDescent="0.25" r="51" customHeight="1" ht="16.5">
      <c r="A51" s="2"/>
      <c r="B51" s="3"/>
      <c r="C51" s="4"/>
      <c r="D51" s="4"/>
      <c r="E51" s="4"/>
      <c r="F51" s="4"/>
      <c r="G51" s="4"/>
      <c r="H51" s="4"/>
      <c r="I51" s="31"/>
      <c r="J51" s="31"/>
      <c r="K51" s="17">
        <v>1.0076405104623831</v>
      </c>
      <c r="L51" s="31"/>
      <c r="M51" s="17">
        <v>2.1216660609741766</v>
      </c>
      <c r="N51" s="31"/>
      <c r="O51" s="17">
        <v>1.1591222381605841</v>
      </c>
      <c r="P51" s="31"/>
      <c r="Q51" s="17">
        <v>-1.2636920390275583</v>
      </c>
      <c r="R51" s="31"/>
      <c r="S51" s="29"/>
      <c r="T51" s="29"/>
      <c r="U51" s="31"/>
      <c r="V51" s="31"/>
      <c r="W51" s="31"/>
      <c r="X51" s="3"/>
      <c r="Y51" s="29"/>
      <c r="Z51" s="29"/>
      <c r="AA51" s="29"/>
      <c r="AB51" s="29"/>
      <c r="AC51" s="29"/>
      <c r="AD51" s="29"/>
      <c r="AE51" s="29"/>
      <c r="AF51" s="29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</row>
    <row x14ac:dyDescent="0.25" r="52" customHeight="1" ht="16.5">
      <c r="A52" s="2"/>
      <c r="B52" s="3"/>
      <c r="C52" s="4"/>
      <c r="D52" s="4"/>
      <c r="E52" s="4"/>
      <c r="F52" s="4"/>
      <c r="G52" s="4"/>
      <c r="H52" s="4"/>
      <c r="I52" s="31"/>
      <c r="J52" s="31"/>
      <c r="K52" s="17">
        <v>1.4961170472333727</v>
      </c>
      <c r="L52" s="31"/>
      <c r="M52" s="17">
        <v>1.5572047570285876</v>
      </c>
      <c r="N52" s="31"/>
      <c r="O52" s="17">
        <v>0.7650952539782419</v>
      </c>
      <c r="P52" s="31"/>
      <c r="Q52" s="17">
        <v>-1.3100939002344765</v>
      </c>
      <c r="R52" s="31"/>
      <c r="S52" s="29"/>
      <c r="T52" s="29"/>
      <c r="U52" s="31"/>
      <c r="V52" s="31"/>
      <c r="W52" s="31"/>
      <c r="X52" s="3"/>
      <c r="Y52" s="29"/>
      <c r="Z52" s="29"/>
      <c r="AA52" s="29"/>
      <c r="AB52" s="29"/>
      <c r="AC52" s="29"/>
      <c r="AD52" s="29"/>
      <c r="AE52" s="29"/>
      <c r="AF52" s="29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</row>
    <row x14ac:dyDescent="0.25" r="53" customHeight="1" ht="16.5">
      <c r="A53" s="2"/>
      <c r="B53" s="3"/>
      <c r="C53" s="4"/>
      <c r="D53" s="4"/>
      <c r="E53" s="4"/>
      <c r="F53" s="4"/>
      <c r="G53" s="4"/>
      <c r="H53" s="4"/>
      <c r="I53" s="31"/>
      <c r="J53" s="31"/>
      <c r="K53" s="17">
        <v>1.2305314778058336</v>
      </c>
      <c r="L53" s="31"/>
      <c r="M53" s="17">
        <v>0.9308353779472638</v>
      </c>
      <c r="N53" s="31"/>
      <c r="O53" s="17">
        <v>0.748029160648499</v>
      </c>
      <c r="P53" s="31"/>
      <c r="Q53" s="17">
        <v>-0.902446486762814</v>
      </c>
      <c r="R53" s="31"/>
      <c r="S53" s="29"/>
      <c r="T53" s="29"/>
      <c r="U53" s="31"/>
      <c r="V53" s="31"/>
      <c r="W53" s="31"/>
      <c r="X53" s="3"/>
      <c r="Y53" s="29"/>
      <c r="Z53" s="29"/>
      <c r="AA53" s="29"/>
      <c r="AB53" s="29"/>
      <c r="AC53" s="29"/>
      <c r="AD53" s="29"/>
      <c r="AE53" s="29"/>
      <c r="AF53" s="29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</row>
    <row x14ac:dyDescent="0.25" r="54" customHeight="1" ht="16.5">
      <c r="A54" s="2"/>
      <c r="B54" s="3"/>
      <c r="C54" s="4"/>
      <c r="D54" s="4"/>
      <c r="E54" s="4"/>
      <c r="F54" s="4"/>
      <c r="G54" s="4"/>
      <c r="H54" s="4"/>
      <c r="I54" s="31"/>
      <c r="J54" s="31"/>
      <c r="K54" s="17">
        <v>0.9769153536905898</v>
      </c>
      <c r="L54" s="31"/>
      <c r="M54" s="17">
        <v>0.750305594399894</v>
      </c>
      <c r="N54" s="31"/>
      <c r="O54" s="17">
        <v>0.11871630683938197</v>
      </c>
      <c r="P54" s="31"/>
      <c r="Q54" s="17">
        <v>-0.9007865453381899</v>
      </c>
      <c r="R54" s="31"/>
      <c r="S54" s="29"/>
      <c r="T54" s="29"/>
      <c r="U54" s="31"/>
      <c r="V54" s="31"/>
      <c r="W54" s="31"/>
      <c r="X54" s="3"/>
      <c r="Y54" s="29"/>
      <c r="Z54" s="29"/>
      <c r="AA54" s="29"/>
      <c r="AB54" s="29"/>
      <c r="AC54" s="29"/>
      <c r="AD54" s="29"/>
      <c r="AE54" s="29"/>
      <c r="AF54" s="29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</row>
    <row x14ac:dyDescent="0.25" r="55" customHeight="1" ht="16.5">
      <c r="A55" s="2"/>
      <c r="B55" s="3"/>
      <c r="C55" s="4"/>
      <c r="D55" s="4"/>
      <c r="E55" s="4"/>
      <c r="F55" s="4"/>
      <c r="G55" s="4"/>
      <c r="H55" s="4"/>
      <c r="I55" s="31"/>
      <c r="J55" s="31"/>
      <c r="K55" s="17">
        <v>-0.2501722237021291</v>
      </c>
      <c r="L55" s="31"/>
      <c r="M55" s="17">
        <v>2.3409799018566897</v>
      </c>
      <c r="N55" s="31"/>
      <c r="O55" s="17">
        <v>-0.017834867636034313</v>
      </c>
      <c r="P55" s="31"/>
      <c r="Q55" s="17">
        <v>-1.783791299578878</v>
      </c>
      <c r="R55" s="31"/>
      <c r="S55" s="29"/>
      <c r="T55" s="29"/>
      <c r="U55" s="31"/>
      <c r="V55" s="31"/>
      <c r="W55" s="31"/>
      <c r="X55" s="3"/>
      <c r="Y55" s="29"/>
      <c r="Z55" s="29"/>
      <c r="AA55" s="29"/>
      <c r="AB55" s="29"/>
      <c r="AC55" s="29"/>
      <c r="AD55" s="29"/>
      <c r="AE55" s="29"/>
      <c r="AF55" s="29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</row>
    <row x14ac:dyDescent="0.25" r="56" customHeight="1" ht="16.5">
      <c r="A56" s="2"/>
      <c r="B56" s="3"/>
      <c r="C56" s="4"/>
      <c r="D56" s="4"/>
      <c r="E56" s="4"/>
      <c r="F56" s="4"/>
      <c r="G56" s="4"/>
      <c r="H56" s="4"/>
      <c r="I56" s="31"/>
      <c r="J56" s="31"/>
      <c r="K56" s="17">
        <v>1.1437812570360213</v>
      </c>
      <c r="L56" s="31"/>
      <c r="M56" s="17">
        <v>2.1608917091212523</v>
      </c>
      <c r="N56" s="31"/>
      <c r="O56" s="17">
        <v>0.3202446999994562</v>
      </c>
      <c r="P56" s="31"/>
      <c r="Q56" s="17">
        <v>-0.3110554236370897</v>
      </c>
      <c r="R56" s="31"/>
      <c r="S56" s="29"/>
      <c r="T56" s="29"/>
      <c r="U56" s="31"/>
      <c r="V56" s="31"/>
      <c r="W56" s="31"/>
      <c r="X56" s="3"/>
      <c r="Y56" s="29"/>
      <c r="Z56" s="29"/>
      <c r="AA56" s="29"/>
      <c r="AB56" s="29"/>
      <c r="AC56" s="29"/>
      <c r="AD56" s="29"/>
      <c r="AE56" s="29"/>
      <c r="AF56" s="29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</row>
    <row x14ac:dyDescent="0.25" r="57" customHeight="1" ht="16.5">
      <c r="A57" s="2"/>
      <c r="B57" s="3"/>
      <c r="C57" s="4"/>
      <c r="D57" s="4"/>
      <c r="E57" s="4"/>
      <c r="F57" s="4"/>
      <c r="G57" s="4"/>
      <c r="H57" s="4"/>
      <c r="I57" s="31"/>
      <c r="J57" s="31"/>
      <c r="K57" s="17">
        <v>0.6128437506844366</v>
      </c>
      <c r="L57" s="31"/>
      <c r="M57" s="17">
        <v>1.2150648008059628</v>
      </c>
      <c r="N57" s="31"/>
      <c r="O57" s="17">
        <v>-0.2331966553299699</v>
      </c>
      <c r="P57" s="31"/>
      <c r="Q57" s="17">
        <v>-0.7640784706065908</v>
      </c>
      <c r="R57" s="31"/>
      <c r="S57" s="29"/>
      <c r="T57" s="29"/>
      <c r="U57" s="31"/>
      <c r="V57" s="31"/>
      <c r="W57" s="31"/>
      <c r="X57" s="3"/>
      <c r="Y57" s="29"/>
      <c r="Z57" s="29"/>
      <c r="AA57" s="29"/>
      <c r="AB57" s="29"/>
      <c r="AC57" s="29"/>
      <c r="AD57" s="29"/>
      <c r="AE57" s="29"/>
      <c r="AF57" s="29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</row>
    <row x14ac:dyDescent="0.25" r="58" customHeight="1" ht="16.5">
      <c r="A58" s="2"/>
      <c r="B58" s="3"/>
      <c r="C58" s="4"/>
      <c r="D58" s="4"/>
      <c r="E58" s="4"/>
      <c r="F58" s="4"/>
      <c r="G58" s="4"/>
      <c r="H58" s="4"/>
      <c r="I58" s="31"/>
      <c r="J58" s="31"/>
      <c r="K58" s="17">
        <v>1.3010339147592473</v>
      </c>
      <c r="L58" s="31"/>
      <c r="M58" s="17">
        <v>0.7573345164436877</v>
      </c>
      <c r="N58" s="31"/>
      <c r="O58" s="17">
        <v>1.375846715615052</v>
      </c>
      <c r="P58" s="31"/>
      <c r="Q58" s="17">
        <v>-0.7200108228294935</v>
      </c>
      <c r="R58" s="31"/>
      <c r="S58" s="29"/>
      <c r="T58" s="29"/>
      <c r="U58" s="31"/>
      <c r="V58" s="31"/>
      <c r="W58" s="31"/>
      <c r="X58" s="3"/>
      <c r="Y58" s="29"/>
      <c r="Z58" s="29"/>
      <c r="AA58" s="29"/>
      <c r="AB58" s="29"/>
      <c r="AC58" s="29"/>
      <c r="AD58" s="29"/>
      <c r="AE58" s="29"/>
      <c r="AF58" s="29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HEK</vt:lpstr>
      <vt:lpstr>K562</vt:lpstr>
      <vt:lpstr>A549</vt:lpstr>
      <vt:lpstr>HEK старый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2023-07-20T19:59:33.115Z</dcterms:created>
  <dcterms:modified xsi:type="dcterms:W3CDTF">2023-07-20T19:59:33.115Z</dcterms:modified>
</cp:coreProperties>
</file>